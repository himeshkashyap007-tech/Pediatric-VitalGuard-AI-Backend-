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<sst xmlns="http://schemas.openxmlformats.org/spreadsheetml/2006/main" count="338" uniqueCount="138">
  <si>
    <t xml:space="preserve">Patient ID</t>
  </si>
  <si>
    <t xml:space="preserve">Sex</t>
  </si>
  <si>
    <t xml:space="preserve">Age (days)</t>
  </si>
  <si>
    <t xml:space="preserve">Age group</t>
  </si>
  <si>
    <t xml:space="preserve">Heart rate (beats/min)</t>
  </si>
  <si>
    <t xml:space="preserve">SpO2 (%)</t>
  </si>
  <si>
    <t xml:space="preserve">Respiratory rate (breaths/min)</t>
  </si>
  <si>
    <t xml:space="preserve">Systolic BP (mmHg)</t>
  </si>
  <si>
    <t xml:space="preserve">Diastolic BP (mmHg)</t>
  </si>
  <si>
    <t xml:space="preserve">Mean BP (mmHg)</t>
  </si>
  <si>
    <t xml:space="preserve">NB-001</t>
  </si>
  <si>
    <t xml:space="preserve">Female</t>
  </si>
  <si>
    <t xml:space="preserve">0-7 days</t>
  </si>
  <si>
    <t xml:space="preserve">NB-002</t>
  </si>
  <si>
    <t xml:space="preserve">NB-003</t>
  </si>
  <si>
    <t xml:space="preserve">NB-004</t>
  </si>
  <si>
    <t xml:space="preserve">Male</t>
  </si>
  <si>
    <t xml:space="preserve">NB-005</t>
  </si>
  <si>
    <t xml:space="preserve">NB-006</t>
  </si>
  <si>
    <t xml:space="preserve">NB-007</t>
  </si>
  <si>
    <t xml:space="preserve">NB-008</t>
  </si>
  <si>
    <t xml:space="preserve">NB-009</t>
  </si>
  <si>
    <t xml:space="preserve">NB-010</t>
  </si>
  <si>
    <t xml:space="preserve">NB-011</t>
  </si>
  <si>
    <t xml:space="preserve">NB-012</t>
  </si>
  <si>
    <t xml:space="preserve">NB-013</t>
  </si>
  <si>
    <t xml:space="preserve">NB-014</t>
  </si>
  <si>
    <t xml:space="preserve">NB-015</t>
  </si>
  <si>
    <t xml:space="preserve">NB-016</t>
  </si>
  <si>
    <t xml:space="preserve">8-28 days</t>
  </si>
  <si>
    <t xml:space="preserve">NB-017</t>
  </si>
  <si>
    <t xml:space="preserve">NB-018</t>
  </si>
  <si>
    <t xml:space="preserve">NB-019</t>
  </si>
  <si>
    <t xml:space="preserve">NB-020</t>
  </si>
  <si>
    <t xml:space="preserve">NB-021</t>
  </si>
  <si>
    <t xml:space="preserve">NB-022</t>
  </si>
  <si>
    <t xml:space="preserve">NB-023</t>
  </si>
  <si>
    <t xml:space="preserve">NB-024</t>
  </si>
  <si>
    <t xml:space="preserve">NB-025</t>
  </si>
  <si>
    <t xml:space="preserve">NB-026</t>
  </si>
  <si>
    <t xml:space="preserve">NB-027</t>
  </si>
  <si>
    <t xml:space="preserve">NB-028</t>
  </si>
  <si>
    <t xml:space="preserve">NB-029</t>
  </si>
  <si>
    <t xml:space="preserve">NB-030</t>
  </si>
  <si>
    <t xml:space="preserve">NB-031</t>
  </si>
  <si>
    <t xml:space="preserve">NB-032</t>
  </si>
  <si>
    <t xml:space="preserve">NB-033</t>
  </si>
  <si>
    <t xml:space="preserve">NB-034</t>
  </si>
  <si>
    <t xml:space="preserve">NB-035</t>
  </si>
  <si>
    <t xml:space="preserve">NB-036</t>
  </si>
  <si>
    <t xml:space="preserve">1-3 months</t>
  </si>
  <si>
    <t xml:space="preserve">NB-037</t>
  </si>
  <si>
    <t xml:space="preserve">NB-038</t>
  </si>
  <si>
    <t xml:space="preserve">NB-039</t>
  </si>
  <si>
    <t xml:space="preserve">NB-040</t>
  </si>
  <si>
    <t xml:space="preserve">NB-041</t>
  </si>
  <si>
    <t xml:space="preserve">NB-042</t>
  </si>
  <si>
    <t xml:space="preserve">NB-043</t>
  </si>
  <si>
    <t xml:space="preserve">NB-044</t>
  </si>
  <si>
    <t xml:space="preserve">NB-045</t>
  </si>
  <si>
    <t xml:space="preserve">NB-046</t>
  </si>
  <si>
    <t xml:space="preserve">NB-047</t>
  </si>
  <si>
    <t xml:space="preserve">NB-048</t>
  </si>
  <si>
    <t xml:space="preserve">NB-049</t>
  </si>
  <si>
    <t xml:space="preserve">NB-050</t>
  </si>
  <si>
    <t xml:space="preserve">NB-051</t>
  </si>
  <si>
    <t xml:space="preserve">NB-052</t>
  </si>
  <si>
    <t xml:space="preserve">NB-053</t>
  </si>
  <si>
    <t xml:space="preserve">NB-054</t>
  </si>
  <si>
    <t xml:space="preserve">NB-055</t>
  </si>
  <si>
    <t xml:space="preserve">NB-056</t>
  </si>
  <si>
    <t xml:space="preserve">NB-057</t>
  </si>
  <si>
    <t xml:space="preserve">NB-058</t>
  </si>
  <si>
    <t xml:space="preserve">NB-059</t>
  </si>
  <si>
    <t xml:space="preserve">NB-060</t>
  </si>
  <si>
    <t xml:space="preserve">NB-061</t>
  </si>
  <si>
    <t xml:space="preserve">NB-062</t>
  </si>
  <si>
    <t xml:space="preserve">NB-063</t>
  </si>
  <si>
    <t xml:space="preserve">NB-064</t>
  </si>
  <si>
    <t xml:space="preserve">NB-065</t>
  </si>
  <si>
    <t xml:space="preserve">NB-066</t>
  </si>
  <si>
    <t xml:space="preserve">NB-067</t>
  </si>
  <si>
    <t xml:space="preserve">NB-068</t>
  </si>
  <si>
    <t xml:space="preserve">NB-069</t>
  </si>
  <si>
    <t xml:space="preserve">NB-070</t>
  </si>
  <si>
    <t xml:space="preserve">NB-071</t>
  </si>
  <si>
    <t xml:space="preserve">3-6 months</t>
  </si>
  <si>
    <t xml:space="preserve">NB-072</t>
  </si>
  <si>
    <t xml:space="preserve">NB-073</t>
  </si>
  <si>
    <t xml:space="preserve">NB-074</t>
  </si>
  <si>
    <t xml:space="preserve">NB-075</t>
  </si>
  <si>
    <t xml:space="preserve">NB-076</t>
  </si>
  <si>
    <t xml:space="preserve">NB-077</t>
  </si>
  <si>
    <t xml:space="preserve">NB-078</t>
  </si>
  <si>
    <t xml:space="preserve">NB-079</t>
  </si>
  <si>
    <t xml:space="preserve">NB-080</t>
  </si>
  <si>
    <t xml:space="preserve">NB-081</t>
  </si>
  <si>
    <t xml:space="preserve">NB-082</t>
  </si>
  <si>
    <t xml:space="preserve">NB-083</t>
  </si>
  <si>
    <t xml:space="preserve">NB-084</t>
  </si>
  <si>
    <t xml:space="preserve">NB-085</t>
  </si>
  <si>
    <t xml:space="preserve">NB-086</t>
  </si>
  <si>
    <t xml:space="preserve">NB-087</t>
  </si>
  <si>
    <t xml:space="preserve">NB-088</t>
  </si>
  <si>
    <t xml:space="preserve">NB-089</t>
  </si>
  <si>
    <t xml:space="preserve">NB-090</t>
  </si>
  <si>
    <t xml:space="preserve">NB-091</t>
  </si>
  <si>
    <t xml:space="preserve">NB-092</t>
  </si>
  <si>
    <t xml:space="preserve">NB-093</t>
  </si>
  <si>
    <t xml:space="preserve">NB-094</t>
  </si>
  <si>
    <t xml:space="preserve">NB-095</t>
  </si>
  <si>
    <t xml:space="preserve">NB-096</t>
  </si>
  <si>
    <t xml:space="preserve">NB-097</t>
  </si>
  <si>
    <t xml:space="preserve">NB-098</t>
  </si>
  <si>
    <t xml:space="preserve">NB-099</t>
  </si>
  <si>
    <t xml:space="preserve">NB-100</t>
  </si>
  <si>
    <t xml:space="preserve">Parameter</t>
  </si>
  <si>
    <t xml:space="preserve">Mean</t>
  </si>
  <si>
    <t xml:space="preserve">SD</t>
  </si>
  <si>
    <t xml:space="preserve">Min</t>
  </si>
  <si>
    <t xml:space="preserve">Max</t>
  </si>
  <si>
    <t xml:space="preserve">Number of patients</t>
  </si>
  <si>
    <t xml:space="preserve">IMPORTANT: THIS IS A SIMULATED (SYNTHETIC) DATASET - NOT REAL PATIENT DATA</t>
  </si>
  <si>
    <t xml:space="preserve">Real hospital records are confidential and cannot be downloaded from forums, so the 100 rows were generated by a script.</t>
  </si>
  <si>
    <t xml:space="preserve">Each value was drawn from a normal distribution centred on approximate published reference values for healthy, awake term infants, then clipped to physiological limits.</t>
  </si>
  <si>
    <t xml:space="preserve">Do not present it as clinical or research data. It is suitable for practice, teaching, and testing statistics/graphing.</t>
  </si>
  <si>
    <t xml:space="preserve">Age mix: 15 patients 0-7 days, 20 patients 8-28 days, 35 patients 1-3 months, 30 patients 3-6 months.</t>
  </si>
  <si>
    <t xml:space="preserve">Mean BP formula (cell formula in Data sheet): MAP = Diastolic + (Systolic - Diastolic) / 3.</t>
  </si>
  <si>
    <t xml:space="preserve">Approximate targets used (mean +/- SD):</t>
  </si>
  <si>
    <t xml:space="preserve">Heart rate: ~142 +/- 13 up to 3 months, falling to ~128 by 6 months</t>
  </si>
  <si>
    <t xml:space="preserve">Respiratory rate: ~45 +/- 5 at birth, falling to ~38 by 6 months</t>
  </si>
  <si>
    <t xml:space="preserve">SpO2: ~97% in first 2 days, ~98% after (range 94-100)</t>
  </si>
  <si>
    <t xml:space="preserve">Systolic BP: ~67 mmHg at birth, ~82 at 1 month, ~90 at 6 months (SD 6)</t>
  </si>
  <si>
    <t xml:space="preserve">Diastolic BP: ~42 mmHg at birth, ~50 at 1 month, ~55 at 6 months (SD 5)</t>
  </si>
  <si>
    <t xml:space="preserve">Reference literature these ranges are modelled on (verify exact figures in the originals before citing):</t>
  </si>
  <si>
    <t xml:space="preserve">1. Fleming S, et al. Normal ranges of heart rate and respiratory rate in children from birth to 18 years. Lancet 2011;377:1011-18.</t>
  </si>
  <si>
    <t xml:space="preserve">2. PALS (AHA) normal vital sign tables for infants.</t>
  </si>
  <si>
    <t xml:space="preserve">3. Dionne JM, Abitbol CL, Flynn JT. Hypertension in infancy: diagnosis, management and outcome. Pediatr Nephrol 2012;27:17-32.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</si>
</sst>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9" min="8" style="0" width="14"/>
    <col collapsed="false" customWidth="true" hidden="false" outlineLevel="0" max="10" min="10" style="0" width="13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n">
        <v>0</v>
      </c>
      <c r="D2" s="2" t="s">
        <v>12</v>
      </c>
      <c r="E2" s="2" t="n">
        <v>175</v>
      </c>
      <c r="F2" s="2" t="n">
        <v>99</v>
      </c>
      <c r="G2" s="2" t="n">
        <v>58</v>
      </c>
      <c r="H2" s="2" t="n">
        <v>72</v>
      </c>
      <c r="I2" s="2" t="n">
        <v>39</v>
      </c>
      <c r="J2" s="3" t="n">
        <f aca="false">ROUND(I2+(H2-I2)/3,1)</f>
        <v>50</v>
      </c>
    </row>
    <row r="3" customFormat="false" ht="15" hidden="false" customHeight="false" outlineLevel="0" collapsed="false">
      <c r="A3" s="2" t="s">
        <v>13</v>
      </c>
      <c r="B3" s="2" t="s">
        <v>11</v>
      </c>
      <c r="C3" s="2" t="n">
        <v>0</v>
      </c>
      <c r="D3" s="2" t="s">
        <v>12</v>
      </c>
      <c r="E3" s="2" t="n">
        <v>136</v>
      </c>
      <c r="F3" s="2" t="n">
        <v>97</v>
      </c>
      <c r="G3" s="2" t="n">
        <v>45</v>
      </c>
      <c r="H3" s="2" t="n">
        <v>69</v>
      </c>
      <c r="I3" s="2" t="n">
        <v>48</v>
      </c>
      <c r="J3" s="3" t="n">
        <f aca="false">ROUND(I3+(H3-I3)/3,1)</f>
        <v>55</v>
      </c>
    </row>
    <row r="4" customFormat="false" ht="15" hidden="false" customHeight="false" outlineLevel="0" collapsed="false">
      <c r="A4" s="2" t="s">
        <v>14</v>
      </c>
      <c r="B4" s="2" t="s">
        <v>11</v>
      </c>
      <c r="C4" s="2" t="n">
        <v>1</v>
      </c>
      <c r="D4" s="2" t="s">
        <v>12</v>
      </c>
      <c r="E4" s="2" t="n">
        <v>135</v>
      </c>
      <c r="F4" s="2" t="n">
        <v>96</v>
      </c>
      <c r="G4" s="2" t="n">
        <v>40</v>
      </c>
      <c r="H4" s="2" t="n">
        <v>62</v>
      </c>
      <c r="I4" s="2" t="n">
        <v>35</v>
      </c>
      <c r="J4" s="3" t="n">
        <f aca="false">ROUND(I4+(H4-I4)/3,1)</f>
        <v>44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n">
        <v>2</v>
      </c>
      <c r="D5" s="2" t="s">
        <v>12</v>
      </c>
      <c r="E5" s="2" t="n">
        <v>159</v>
      </c>
      <c r="F5" s="2" t="n">
        <v>98</v>
      </c>
      <c r="G5" s="2" t="n">
        <v>42</v>
      </c>
      <c r="H5" s="2" t="n">
        <v>61</v>
      </c>
      <c r="I5" s="2" t="n">
        <v>41</v>
      </c>
      <c r="J5" s="3" t="n">
        <f aca="false">ROUND(I5+(H5-I5)/3,1)</f>
        <v>47.7</v>
      </c>
    </row>
    <row r="6" customFormat="false" ht="15" hidden="false" customHeight="false" outlineLevel="0" collapsed="false">
      <c r="A6" s="2" t="s">
        <v>17</v>
      </c>
      <c r="B6" s="2" t="s">
        <v>11</v>
      </c>
      <c r="C6" s="2" t="n">
        <v>2</v>
      </c>
      <c r="D6" s="2" t="s">
        <v>12</v>
      </c>
      <c r="E6" s="2" t="n">
        <v>119</v>
      </c>
      <c r="F6" s="2" t="n">
        <v>100</v>
      </c>
      <c r="G6" s="2" t="n">
        <v>41</v>
      </c>
      <c r="H6" s="2" t="n">
        <v>65</v>
      </c>
      <c r="I6" s="2" t="n">
        <v>45</v>
      </c>
      <c r="J6" s="3" t="n">
        <f aca="false">ROUND(I6+(H6-I6)/3,1)</f>
        <v>51.7</v>
      </c>
    </row>
    <row r="7" customFormat="false" ht="15" hidden="false" customHeight="false" outlineLevel="0" collapsed="false">
      <c r="A7" s="2" t="s">
        <v>18</v>
      </c>
      <c r="B7" s="2" t="s">
        <v>16</v>
      </c>
      <c r="C7" s="2" t="n">
        <v>2</v>
      </c>
      <c r="D7" s="2" t="s">
        <v>12</v>
      </c>
      <c r="E7" s="2" t="n">
        <v>140</v>
      </c>
      <c r="F7" s="2" t="n">
        <v>99</v>
      </c>
      <c r="G7" s="2" t="n">
        <v>42</v>
      </c>
      <c r="H7" s="2" t="n">
        <v>67</v>
      </c>
      <c r="I7" s="2" t="n">
        <v>47</v>
      </c>
      <c r="J7" s="3" t="n">
        <f aca="false">ROUND(I7+(H7-I7)/3,1)</f>
        <v>53.7</v>
      </c>
    </row>
    <row r="8" customFormat="false" ht="15" hidden="false" customHeight="false" outlineLevel="0" collapsed="false">
      <c r="A8" s="2" t="s">
        <v>19</v>
      </c>
      <c r="B8" s="2" t="s">
        <v>16</v>
      </c>
      <c r="C8" s="2" t="n">
        <v>3</v>
      </c>
      <c r="D8" s="2" t="s">
        <v>12</v>
      </c>
      <c r="E8" s="2" t="n">
        <v>133</v>
      </c>
      <c r="F8" s="2" t="n">
        <v>98</v>
      </c>
      <c r="G8" s="2" t="n">
        <v>45</v>
      </c>
      <c r="H8" s="2" t="n">
        <v>71</v>
      </c>
      <c r="I8" s="2" t="n">
        <v>37</v>
      </c>
      <c r="J8" s="3" t="n">
        <f aca="false">ROUND(I8+(H8-I8)/3,1)</f>
        <v>48.3</v>
      </c>
    </row>
    <row r="9" customFormat="false" ht="15" hidden="false" customHeight="false" outlineLevel="0" collapsed="false">
      <c r="A9" s="2" t="s">
        <v>20</v>
      </c>
      <c r="B9" s="2" t="s">
        <v>11</v>
      </c>
      <c r="C9" s="2" t="n">
        <v>5</v>
      </c>
      <c r="D9" s="2" t="s">
        <v>12</v>
      </c>
      <c r="E9" s="2" t="n">
        <v>139</v>
      </c>
      <c r="F9" s="2" t="n">
        <v>99</v>
      </c>
      <c r="G9" s="2" t="n">
        <v>41</v>
      </c>
      <c r="H9" s="2" t="n">
        <v>73</v>
      </c>
      <c r="I9" s="2" t="n">
        <v>34</v>
      </c>
      <c r="J9" s="3" t="n">
        <f aca="false">ROUND(I9+(H9-I9)/3,1)</f>
        <v>47</v>
      </c>
    </row>
    <row r="10" customFormat="false" ht="15" hidden="false" customHeight="false" outlineLevel="0" collapsed="false">
      <c r="A10" s="2" t="s">
        <v>21</v>
      </c>
      <c r="B10" s="2" t="s">
        <v>16</v>
      </c>
      <c r="C10" s="2" t="n">
        <v>5</v>
      </c>
      <c r="D10" s="2" t="s">
        <v>12</v>
      </c>
      <c r="E10" s="2" t="n">
        <v>119</v>
      </c>
      <c r="F10" s="2" t="n">
        <v>98</v>
      </c>
      <c r="G10" s="2" t="n">
        <v>38</v>
      </c>
      <c r="H10" s="2" t="n">
        <v>82</v>
      </c>
      <c r="I10" s="2" t="n">
        <v>41</v>
      </c>
      <c r="J10" s="3" t="n">
        <f aca="false">ROUND(I10+(H10-I10)/3,1)</f>
        <v>54.7</v>
      </c>
    </row>
    <row r="11" customFormat="false" ht="15" hidden="false" customHeight="false" outlineLevel="0" collapsed="false">
      <c r="A11" s="2" t="s">
        <v>22</v>
      </c>
      <c r="B11" s="2" t="s">
        <v>11</v>
      </c>
      <c r="C11" s="2" t="n">
        <v>5</v>
      </c>
      <c r="D11" s="2" t="s">
        <v>12</v>
      </c>
      <c r="E11" s="2" t="n">
        <v>128</v>
      </c>
      <c r="F11" s="2" t="n">
        <v>96</v>
      </c>
      <c r="G11" s="2" t="n">
        <v>40</v>
      </c>
      <c r="H11" s="2" t="n">
        <v>69</v>
      </c>
      <c r="I11" s="2" t="n">
        <v>48</v>
      </c>
      <c r="J11" s="3" t="n">
        <f aca="false">ROUND(I11+(H11-I11)/3,1)</f>
        <v>55</v>
      </c>
    </row>
    <row r="12" customFormat="false" ht="15" hidden="false" customHeight="false" outlineLevel="0" collapsed="false">
      <c r="A12" s="2" t="s">
        <v>23</v>
      </c>
      <c r="B12" s="2" t="s">
        <v>16</v>
      </c>
      <c r="C12" s="2" t="n">
        <v>5</v>
      </c>
      <c r="D12" s="2" t="s">
        <v>12</v>
      </c>
      <c r="E12" s="2" t="n">
        <v>137</v>
      </c>
      <c r="F12" s="2" t="n">
        <v>98</v>
      </c>
      <c r="G12" s="2" t="n">
        <v>52</v>
      </c>
      <c r="H12" s="2" t="n">
        <v>69</v>
      </c>
      <c r="I12" s="2" t="n">
        <v>46</v>
      </c>
      <c r="J12" s="3" t="n">
        <f aca="false">ROUND(I12+(H12-I12)/3,1)</f>
        <v>53.7</v>
      </c>
    </row>
    <row r="13" customFormat="false" ht="15" hidden="false" customHeight="false" outlineLevel="0" collapsed="false">
      <c r="A13" s="2" t="s">
        <v>24</v>
      </c>
      <c r="B13" s="2" t="s">
        <v>16</v>
      </c>
      <c r="C13" s="2" t="n">
        <v>6</v>
      </c>
      <c r="D13" s="2" t="s">
        <v>12</v>
      </c>
      <c r="E13" s="2" t="n">
        <v>157</v>
      </c>
      <c r="F13" s="2" t="n">
        <v>96</v>
      </c>
      <c r="G13" s="2" t="n">
        <v>41</v>
      </c>
      <c r="H13" s="2" t="n">
        <v>71</v>
      </c>
      <c r="I13" s="2" t="n">
        <v>41</v>
      </c>
      <c r="J13" s="3" t="n">
        <f aca="false">ROUND(I13+(H13-I13)/3,1)</f>
        <v>51</v>
      </c>
    </row>
    <row r="14" customFormat="false" ht="15" hidden="false" customHeight="false" outlineLevel="0" collapsed="false">
      <c r="A14" s="2" t="s">
        <v>25</v>
      </c>
      <c r="B14" s="2" t="s">
        <v>16</v>
      </c>
      <c r="C14" s="2" t="n">
        <v>6</v>
      </c>
      <c r="D14" s="2" t="s">
        <v>12</v>
      </c>
      <c r="E14" s="2" t="n">
        <v>142</v>
      </c>
      <c r="F14" s="2" t="n">
        <v>97</v>
      </c>
      <c r="G14" s="2" t="n">
        <v>53</v>
      </c>
      <c r="H14" s="2" t="n">
        <v>75</v>
      </c>
      <c r="I14" s="2" t="n">
        <v>48</v>
      </c>
      <c r="J14" s="3" t="n">
        <f aca="false">ROUND(I14+(H14-I14)/3,1)</f>
        <v>57</v>
      </c>
    </row>
    <row r="15" customFormat="false" ht="15" hidden="false" customHeight="false" outlineLevel="0" collapsed="false">
      <c r="A15" s="2" t="s">
        <v>26</v>
      </c>
      <c r="B15" s="2" t="s">
        <v>11</v>
      </c>
      <c r="C15" s="2" t="n">
        <v>6</v>
      </c>
      <c r="D15" s="2" t="s">
        <v>12</v>
      </c>
      <c r="E15" s="2" t="n">
        <v>157</v>
      </c>
      <c r="F15" s="2" t="n">
        <v>97</v>
      </c>
      <c r="G15" s="2" t="n">
        <v>42</v>
      </c>
      <c r="H15" s="2" t="n">
        <v>76</v>
      </c>
      <c r="I15" s="2" t="n">
        <v>47</v>
      </c>
      <c r="J15" s="3" t="n">
        <f aca="false">ROUND(I15+(H15-I15)/3,1)</f>
        <v>56.7</v>
      </c>
    </row>
    <row r="16" customFormat="false" ht="15" hidden="false" customHeight="false" outlineLevel="0" collapsed="false">
      <c r="A16" s="2" t="s">
        <v>27</v>
      </c>
      <c r="B16" s="2" t="s">
        <v>11</v>
      </c>
      <c r="C16" s="2" t="n">
        <v>7</v>
      </c>
      <c r="D16" s="2" t="s">
        <v>12</v>
      </c>
      <c r="E16" s="2" t="n">
        <v>160</v>
      </c>
      <c r="F16" s="2" t="n">
        <v>100</v>
      </c>
      <c r="G16" s="2" t="n">
        <v>46</v>
      </c>
      <c r="H16" s="2" t="n">
        <v>69</v>
      </c>
      <c r="I16" s="2" t="n">
        <v>39</v>
      </c>
      <c r="J16" s="3" t="n">
        <f aca="false">ROUND(I16+(H16-I16)/3,1)</f>
        <v>49</v>
      </c>
    </row>
    <row r="17" customFormat="false" ht="15" hidden="false" customHeight="false" outlineLevel="0" collapsed="false">
      <c r="A17" s="2" t="s">
        <v>28</v>
      </c>
      <c r="B17" s="2" t="s">
        <v>11</v>
      </c>
      <c r="C17" s="2" t="n">
        <v>10</v>
      </c>
      <c r="D17" s="2" t="s">
        <v>29</v>
      </c>
      <c r="E17" s="2" t="n">
        <v>128</v>
      </c>
      <c r="F17" s="2" t="n">
        <v>97</v>
      </c>
      <c r="G17" s="2" t="n">
        <v>49</v>
      </c>
      <c r="H17" s="2" t="n">
        <v>69</v>
      </c>
      <c r="I17" s="2" t="n">
        <v>49</v>
      </c>
      <c r="J17" s="3" t="n">
        <f aca="false">ROUND(I17+(H17-I17)/3,1)</f>
        <v>55.7</v>
      </c>
    </row>
    <row r="18" customFormat="false" ht="15" hidden="false" customHeight="false" outlineLevel="0" collapsed="false">
      <c r="A18" s="2" t="s">
        <v>30</v>
      </c>
      <c r="B18" s="2" t="s">
        <v>11</v>
      </c>
      <c r="C18" s="2" t="n">
        <v>10</v>
      </c>
      <c r="D18" s="2" t="s">
        <v>29</v>
      </c>
      <c r="E18" s="2" t="n">
        <v>153</v>
      </c>
      <c r="F18" s="2" t="n">
        <v>97</v>
      </c>
      <c r="G18" s="2" t="n">
        <v>54</v>
      </c>
      <c r="H18" s="2" t="n">
        <v>58</v>
      </c>
      <c r="I18" s="2" t="n">
        <v>38</v>
      </c>
      <c r="J18" s="3" t="n">
        <f aca="false">ROUND(I18+(H18-I18)/3,1)</f>
        <v>44.7</v>
      </c>
    </row>
    <row r="19" customFormat="false" ht="15" hidden="false" customHeight="false" outlineLevel="0" collapsed="false">
      <c r="A19" s="2" t="s">
        <v>31</v>
      </c>
      <c r="B19" s="2" t="s">
        <v>16</v>
      </c>
      <c r="C19" s="2" t="n">
        <v>11</v>
      </c>
      <c r="D19" s="2" t="s">
        <v>29</v>
      </c>
      <c r="E19" s="2" t="n">
        <v>143</v>
      </c>
      <c r="F19" s="2" t="n">
        <v>97</v>
      </c>
      <c r="G19" s="2" t="n">
        <v>46</v>
      </c>
      <c r="H19" s="2" t="n">
        <v>82</v>
      </c>
      <c r="I19" s="2" t="n">
        <v>53</v>
      </c>
      <c r="J19" s="3" t="n">
        <f aca="false">ROUND(I19+(H19-I19)/3,1)</f>
        <v>62.7</v>
      </c>
    </row>
    <row r="20" customFormat="false" ht="15" hidden="false" customHeight="false" outlineLevel="0" collapsed="false">
      <c r="A20" s="2" t="s">
        <v>32</v>
      </c>
      <c r="B20" s="2" t="s">
        <v>11</v>
      </c>
      <c r="C20" s="2" t="n">
        <v>11</v>
      </c>
      <c r="D20" s="2" t="s">
        <v>29</v>
      </c>
      <c r="E20" s="2" t="n">
        <v>149</v>
      </c>
      <c r="F20" s="2" t="n">
        <v>98</v>
      </c>
      <c r="G20" s="2" t="n">
        <v>44</v>
      </c>
      <c r="H20" s="2" t="n">
        <v>66</v>
      </c>
      <c r="I20" s="2" t="n">
        <v>44</v>
      </c>
      <c r="J20" s="3" t="n">
        <f aca="false">ROUND(I20+(H20-I20)/3,1)</f>
        <v>51.3</v>
      </c>
    </row>
    <row r="21" customFormat="false" ht="15" hidden="false" customHeight="false" outlineLevel="0" collapsed="false">
      <c r="A21" s="2" t="s">
        <v>33</v>
      </c>
      <c r="B21" s="2" t="s">
        <v>11</v>
      </c>
      <c r="C21" s="2" t="n">
        <v>13</v>
      </c>
      <c r="D21" s="2" t="s">
        <v>29</v>
      </c>
      <c r="E21" s="2" t="n">
        <v>131</v>
      </c>
      <c r="F21" s="2" t="n">
        <v>97</v>
      </c>
      <c r="G21" s="2" t="n">
        <v>49</v>
      </c>
      <c r="H21" s="2" t="n">
        <v>71</v>
      </c>
      <c r="I21" s="2" t="n">
        <v>34</v>
      </c>
      <c r="J21" s="3" t="n">
        <f aca="false">ROUND(I21+(H21-I21)/3,1)</f>
        <v>46.3</v>
      </c>
    </row>
    <row r="22" customFormat="false" ht="15" hidden="false" customHeight="false" outlineLevel="0" collapsed="false">
      <c r="A22" s="2" t="s">
        <v>34</v>
      </c>
      <c r="B22" s="2" t="s">
        <v>16</v>
      </c>
      <c r="C22" s="2" t="n">
        <v>14</v>
      </c>
      <c r="D22" s="2" t="s">
        <v>29</v>
      </c>
      <c r="E22" s="2" t="n">
        <v>148</v>
      </c>
      <c r="F22" s="2" t="n">
        <v>99</v>
      </c>
      <c r="G22" s="2" t="n">
        <v>48</v>
      </c>
      <c r="H22" s="2" t="n">
        <v>92</v>
      </c>
      <c r="I22" s="2" t="n">
        <v>50</v>
      </c>
      <c r="J22" s="3" t="n">
        <f aca="false">ROUND(I22+(H22-I22)/3,1)</f>
        <v>64</v>
      </c>
    </row>
    <row r="23" customFormat="false" ht="15" hidden="false" customHeight="false" outlineLevel="0" collapsed="false">
      <c r="A23" s="2" t="s">
        <v>35</v>
      </c>
      <c r="B23" s="2" t="s">
        <v>16</v>
      </c>
      <c r="C23" s="2" t="n">
        <v>17</v>
      </c>
      <c r="D23" s="2" t="s">
        <v>29</v>
      </c>
      <c r="E23" s="2" t="n">
        <v>175</v>
      </c>
      <c r="F23" s="2" t="n">
        <v>99</v>
      </c>
      <c r="G23" s="2" t="n">
        <v>40</v>
      </c>
      <c r="H23" s="2" t="n">
        <v>80</v>
      </c>
      <c r="I23" s="2" t="n">
        <v>42</v>
      </c>
      <c r="J23" s="3" t="n">
        <f aca="false">ROUND(I23+(H23-I23)/3,1)</f>
        <v>54.7</v>
      </c>
    </row>
    <row r="24" customFormat="false" ht="15" hidden="false" customHeight="false" outlineLevel="0" collapsed="false">
      <c r="A24" s="2" t="s">
        <v>36</v>
      </c>
      <c r="B24" s="2" t="s">
        <v>16</v>
      </c>
      <c r="C24" s="2" t="n">
        <v>17</v>
      </c>
      <c r="D24" s="2" t="s">
        <v>29</v>
      </c>
      <c r="E24" s="2" t="n">
        <v>160</v>
      </c>
      <c r="F24" s="2" t="n">
        <v>99</v>
      </c>
      <c r="G24" s="2" t="n">
        <v>46</v>
      </c>
      <c r="H24" s="2" t="n">
        <v>71</v>
      </c>
      <c r="I24" s="2" t="n">
        <v>51</v>
      </c>
      <c r="J24" s="3" t="n">
        <f aca="false">ROUND(I24+(H24-I24)/3,1)</f>
        <v>57.7</v>
      </c>
    </row>
    <row r="25" customFormat="false" ht="15" hidden="false" customHeight="false" outlineLevel="0" collapsed="false">
      <c r="A25" s="2" t="s">
        <v>37</v>
      </c>
      <c r="B25" s="2" t="s">
        <v>11</v>
      </c>
      <c r="C25" s="2" t="n">
        <v>18</v>
      </c>
      <c r="D25" s="2" t="s">
        <v>29</v>
      </c>
      <c r="E25" s="2" t="n">
        <v>119</v>
      </c>
      <c r="F25" s="2" t="n">
        <v>98</v>
      </c>
      <c r="G25" s="2" t="n">
        <v>51</v>
      </c>
      <c r="H25" s="2" t="n">
        <v>76</v>
      </c>
      <c r="I25" s="2" t="n">
        <v>56</v>
      </c>
      <c r="J25" s="3" t="n">
        <f aca="false">ROUND(I25+(H25-I25)/3,1)</f>
        <v>62.7</v>
      </c>
    </row>
    <row r="26" customFormat="false" ht="15" hidden="false" customHeight="false" outlineLevel="0" collapsed="false">
      <c r="A26" s="2" t="s">
        <v>38</v>
      </c>
      <c r="B26" s="2" t="s">
        <v>16</v>
      </c>
      <c r="C26" s="2" t="n">
        <v>20</v>
      </c>
      <c r="D26" s="2" t="s">
        <v>29</v>
      </c>
      <c r="E26" s="2" t="n">
        <v>157</v>
      </c>
      <c r="F26" s="2" t="n">
        <v>99</v>
      </c>
      <c r="G26" s="2" t="n">
        <v>47</v>
      </c>
      <c r="H26" s="2" t="n">
        <v>73</v>
      </c>
      <c r="I26" s="2" t="n">
        <v>51</v>
      </c>
      <c r="J26" s="3" t="n">
        <f aca="false">ROUND(I26+(H26-I26)/3,1)</f>
        <v>58.3</v>
      </c>
    </row>
    <row r="27" customFormat="false" ht="15" hidden="false" customHeight="false" outlineLevel="0" collapsed="false">
      <c r="A27" s="2" t="s">
        <v>39</v>
      </c>
      <c r="B27" s="2" t="s">
        <v>16</v>
      </c>
      <c r="C27" s="2" t="n">
        <v>21</v>
      </c>
      <c r="D27" s="2" t="s">
        <v>29</v>
      </c>
      <c r="E27" s="2" t="n">
        <v>152</v>
      </c>
      <c r="F27" s="2" t="n">
        <v>94</v>
      </c>
      <c r="G27" s="2" t="n">
        <v>43</v>
      </c>
      <c r="H27" s="2" t="n">
        <v>81</v>
      </c>
      <c r="I27" s="2" t="n">
        <v>48</v>
      </c>
      <c r="J27" s="3" t="n">
        <f aca="false">ROUND(I27+(H27-I27)/3,1)</f>
        <v>59</v>
      </c>
    </row>
    <row r="28" customFormat="false" ht="15" hidden="false" customHeight="false" outlineLevel="0" collapsed="false">
      <c r="A28" s="2" t="s">
        <v>40</v>
      </c>
      <c r="B28" s="2" t="s">
        <v>16</v>
      </c>
      <c r="C28" s="2" t="n">
        <v>21</v>
      </c>
      <c r="D28" s="2" t="s">
        <v>29</v>
      </c>
      <c r="E28" s="2" t="n">
        <v>137</v>
      </c>
      <c r="F28" s="2" t="n">
        <v>98</v>
      </c>
      <c r="G28" s="2" t="n">
        <v>48</v>
      </c>
      <c r="H28" s="2" t="n">
        <v>79</v>
      </c>
      <c r="I28" s="2" t="n">
        <v>40</v>
      </c>
      <c r="J28" s="3" t="n">
        <f aca="false">ROUND(I28+(H28-I28)/3,1)</f>
        <v>53</v>
      </c>
    </row>
    <row r="29" customFormat="false" ht="15" hidden="false" customHeight="false" outlineLevel="0" collapsed="false">
      <c r="A29" s="2" t="s">
        <v>41</v>
      </c>
      <c r="B29" s="2" t="s">
        <v>16</v>
      </c>
      <c r="C29" s="2" t="n">
        <v>21</v>
      </c>
      <c r="D29" s="2" t="s">
        <v>29</v>
      </c>
      <c r="E29" s="2" t="n">
        <v>147</v>
      </c>
      <c r="F29" s="2" t="n">
        <v>98</v>
      </c>
      <c r="G29" s="2" t="n">
        <v>45</v>
      </c>
      <c r="H29" s="2" t="n">
        <v>78</v>
      </c>
      <c r="I29" s="2" t="n">
        <v>50</v>
      </c>
      <c r="J29" s="3" t="n">
        <f aca="false">ROUND(I29+(H29-I29)/3,1)</f>
        <v>59.3</v>
      </c>
    </row>
    <row r="30" customFormat="false" ht="15" hidden="false" customHeight="false" outlineLevel="0" collapsed="false">
      <c r="A30" s="2" t="s">
        <v>42</v>
      </c>
      <c r="B30" s="2" t="s">
        <v>16</v>
      </c>
      <c r="C30" s="2" t="n">
        <v>21</v>
      </c>
      <c r="D30" s="2" t="s">
        <v>29</v>
      </c>
      <c r="E30" s="2" t="n">
        <v>142</v>
      </c>
      <c r="F30" s="2" t="n">
        <v>98</v>
      </c>
      <c r="G30" s="2" t="n">
        <v>45</v>
      </c>
      <c r="H30" s="2" t="n">
        <v>83</v>
      </c>
      <c r="I30" s="2" t="n">
        <v>45</v>
      </c>
      <c r="J30" s="3" t="n">
        <f aca="false">ROUND(I30+(H30-I30)/3,1)</f>
        <v>57.7</v>
      </c>
    </row>
    <row r="31" customFormat="false" ht="15" hidden="false" customHeight="false" outlineLevel="0" collapsed="false">
      <c r="A31" s="2" t="s">
        <v>43</v>
      </c>
      <c r="B31" s="2" t="s">
        <v>16</v>
      </c>
      <c r="C31" s="2" t="n">
        <v>23</v>
      </c>
      <c r="D31" s="2" t="s">
        <v>29</v>
      </c>
      <c r="E31" s="2" t="n">
        <v>150</v>
      </c>
      <c r="F31" s="2" t="n">
        <v>98</v>
      </c>
      <c r="G31" s="2" t="n">
        <v>45</v>
      </c>
      <c r="H31" s="2" t="n">
        <v>81</v>
      </c>
      <c r="I31" s="2" t="n">
        <v>52</v>
      </c>
      <c r="J31" s="3" t="n">
        <f aca="false">ROUND(I31+(H31-I31)/3,1)</f>
        <v>61.7</v>
      </c>
    </row>
    <row r="32" customFormat="false" ht="15" hidden="false" customHeight="false" outlineLevel="0" collapsed="false">
      <c r="A32" s="2" t="s">
        <v>44</v>
      </c>
      <c r="B32" s="2" t="s">
        <v>11</v>
      </c>
      <c r="C32" s="2" t="n">
        <v>23</v>
      </c>
      <c r="D32" s="2" t="s">
        <v>29</v>
      </c>
      <c r="E32" s="2" t="n">
        <v>128</v>
      </c>
      <c r="F32" s="2" t="n">
        <v>98</v>
      </c>
      <c r="G32" s="2" t="n">
        <v>44</v>
      </c>
      <c r="H32" s="2" t="n">
        <v>75</v>
      </c>
      <c r="I32" s="2" t="n">
        <v>45</v>
      </c>
      <c r="J32" s="3" t="n">
        <f aca="false">ROUND(I32+(H32-I32)/3,1)</f>
        <v>55</v>
      </c>
    </row>
    <row r="33" customFormat="false" ht="15" hidden="false" customHeight="false" outlineLevel="0" collapsed="false">
      <c r="A33" s="2" t="s">
        <v>45</v>
      </c>
      <c r="B33" s="2" t="s">
        <v>11</v>
      </c>
      <c r="C33" s="2" t="n">
        <v>25</v>
      </c>
      <c r="D33" s="2" t="s">
        <v>29</v>
      </c>
      <c r="E33" s="2" t="n">
        <v>128</v>
      </c>
      <c r="F33" s="2" t="n">
        <v>97</v>
      </c>
      <c r="G33" s="2" t="n">
        <v>36</v>
      </c>
      <c r="H33" s="2" t="n">
        <v>76</v>
      </c>
      <c r="I33" s="2" t="n">
        <v>46</v>
      </c>
      <c r="J33" s="3" t="n">
        <f aca="false">ROUND(I33+(H33-I33)/3,1)</f>
        <v>56</v>
      </c>
    </row>
    <row r="34" customFormat="false" ht="15" hidden="false" customHeight="false" outlineLevel="0" collapsed="false">
      <c r="A34" s="2" t="s">
        <v>46</v>
      </c>
      <c r="B34" s="2" t="s">
        <v>11</v>
      </c>
      <c r="C34" s="2" t="n">
        <v>26</v>
      </c>
      <c r="D34" s="2" t="s">
        <v>29</v>
      </c>
      <c r="E34" s="2" t="n">
        <v>147</v>
      </c>
      <c r="F34" s="2" t="n">
        <v>97</v>
      </c>
      <c r="G34" s="2" t="n">
        <v>43</v>
      </c>
      <c r="H34" s="2" t="n">
        <v>76</v>
      </c>
      <c r="I34" s="2" t="n">
        <v>43</v>
      </c>
      <c r="J34" s="3" t="n">
        <f aca="false">ROUND(I34+(H34-I34)/3,1)</f>
        <v>54</v>
      </c>
    </row>
    <row r="35" customFormat="false" ht="15" hidden="false" customHeight="false" outlineLevel="0" collapsed="false">
      <c r="A35" s="2" t="s">
        <v>47</v>
      </c>
      <c r="B35" s="2" t="s">
        <v>16</v>
      </c>
      <c r="C35" s="2" t="n">
        <v>27</v>
      </c>
      <c r="D35" s="2" t="s">
        <v>29</v>
      </c>
      <c r="E35" s="2" t="n">
        <v>139</v>
      </c>
      <c r="F35" s="2" t="n">
        <v>100</v>
      </c>
      <c r="G35" s="2" t="n">
        <v>52</v>
      </c>
      <c r="H35" s="2" t="n">
        <v>89</v>
      </c>
      <c r="I35" s="2" t="n">
        <v>60</v>
      </c>
      <c r="J35" s="3" t="n">
        <f aca="false">ROUND(I35+(H35-I35)/3,1)</f>
        <v>69.7</v>
      </c>
    </row>
    <row r="36" customFormat="false" ht="15" hidden="false" customHeight="false" outlineLevel="0" collapsed="false">
      <c r="A36" s="2" t="s">
        <v>48</v>
      </c>
      <c r="B36" s="2" t="s">
        <v>11</v>
      </c>
      <c r="C36" s="2" t="n">
        <v>28</v>
      </c>
      <c r="D36" s="2" t="s">
        <v>29</v>
      </c>
      <c r="E36" s="2" t="n">
        <v>126</v>
      </c>
      <c r="F36" s="2" t="n">
        <v>99</v>
      </c>
      <c r="G36" s="2" t="n">
        <v>47</v>
      </c>
      <c r="H36" s="2" t="n">
        <v>84</v>
      </c>
      <c r="I36" s="2" t="n">
        <v>60</v>
      </c>
      <c r="J36" s="3" t="n">
        <f aca="false">ROUND(I36+(H36-I36)/3,1)</f>
        <v>68</v>
      </c>
    </row>
    <row r="37" customFormat="false" ht="15" hidden="false" customHeight="false" outlineLevel="0" collapsed="false">
      <c r="A37" s="2" t="s">
        <v>49</v>
      </c>
      <c r="B37" s="2" t="s">
        <v>11</v>
      </c>
      <c r="C37" s="2" t="n">
        <v>29</v>
      </c>
      <c r="D37" s="2" t="s">
        <v>50</v>
      </c>
      <c r="E37" s="2" t="n">
        <v>155</v>
      </c>
      <c r="F37" s="2" t="n">
        <v>97</v>
      </c>
      <c r="G37" s="2" t="n">
        <v>47</v>
      </c>
      <c r="H37" s="2" t="n">
        <v>75</v>
      </c>
      <c r="I37" s="2" t="n">
        <v>53</v>
      </c>
      <c r="J37" s="3" t="n">
        <f aca="false">ROUND(I37+(H37-I37)/3,1)</f>
        <v>60.3</v>
      </c>
    </row>
    <row r="38" customFormat="false" ht="15" hidden="false" customHeight="false" outlineLevel="0" collapsed="false">
      <c r="A38" s="2" t="s">
        <v>51</v>
      </c>
      <c r="B38" s="2" t="s">
        <v>11</v>
      </c>
      <c r="C38" s="2" t="n">
        <v>34</v>
      </c>
      <c r="D38" s="2" t="s">
        <v>50</v>
      </c>
      <c r="E38" s="2" t="n">
        <v>141</v>
      </c>
      <c r="F38" s="2" t="n">
        <v>98</v>
      </c>
      <c r="G38" s="2" t="n">
        <v>37</v>
      </c>
      <c r="H38" s="2" t="n">
        <v>84</v>
      </c>
      <c r="I38" s="2" t="n">
        <v>55</v>
      </c>
      <c r="J38" s="3" t="n">
        <f aca="false">ROUND(I38+(H38-I38)/3,1)</f>
        <v>64.7</v>
      </c>
    </row>
    <row r="39" customFormat="false" ht="15" hidden="false" customHeight="false" outlineLevel="0" collapsed="false">
      <c r="A39" s="2" t="s">
        <v>52</v>
      </c>
      <c r="B39" s="2" t="s">
        <v>11</v>
      </c>
      <c r="C39" s="2" t="n">
        <v>38</v>
      </c>
      <c r="D39" s="2" t="s">
        <v>50</v>
      </c>
      <c r="E39" s="2" t="n">
        <v>139</v>
      </c>
      <c r="F39" s="2" t="n">
        <v>98</v>
      </c>
      <c r="G39" s="2" t="n">
        <v>44</v>
      </c>
      <c r="H39" s="2" t="n">
        <v>75</v>
      </c>
      <c r="I39" s="2" t="n">
        <v>54</v>
      </c>
      <c r="J39" s="3" t="n">
        <f aca="false">ROUND(I39+(H39-I39)/3,1)</f>
        <v>61</v>
      </c>
    </row>
    <row r="40" customFormat="false" ht="15" hidden="false" customHeight="false" outlineLevel="0" collapsed="false">
      <c r="A40" s="2" t="s">
        <v>53</v>
      </c>
      <c r="B40" s="2" t="s">
        <v>11</v>
      </c>
      <c r="C40" s="2" t="n">
        <v>38</v>
      </c>
      <c r="D40" s="2" t="s">
        <v>50</v>
      </c>
      <c r="E40" s="2" t="n">
        <v>170</v>
      </c>
      <c r="F40" s="2" t="n">
        <v>97</v>
      </c>
      <c r="G40" s="2" t="n">
        <v>48</v>
      </c>
      <c r="H40" s="2" t="n">
        <v>83</v>
      </c>
      <c r="I40" s="2" t="n">
        <v>41</v>
      </c>
      <c r="J40" s="3" t="n">
        <f aca="false">ROUND(I40+(H40-I40)/3,1)</f>
        <v>55</v>
      </c>
    </row>
    <row r="41" customFormat="false" ht="15" hidden="false" customHeight="false" outlineLevel="0" collapsed="false">
      <c r="A41" s="2" t="s">
        <v>54</v>
      </c>
      <c r="B41" s="2" t="s">
        <v>16</v>
      </c>
      <c r="C41" s="2" t="n">
        <v>39</v>
      </c>
      <c r="D41" s="2" t="s">
        <v>50</v>
      </c>
      <c r="E41" s="2" t="n">
        <v>151</v>
      </c>
      <c r="F41" s="2" t="n">
        <v>97</v>
      </c>
      <c r="G41" s="2" t="n">
        <v>44</v>
      </c>
      <c r="H41" s="2" t="n">
        <v>70</v>
      </c>
      <c r="I41" s="2" t="n">
        <v>44</v>
      </c>
      <c r="J41" s="3" t="n">
        <f aca="false">ROUND(I41+(H41-I41)/3,1)</f>
        <v>52.7</v>
      </c>
    </row>
    <row r="42" customFormat="false" ht="15" hidden="false" customHeight="false" outlineLevel="0" collapsed="false">
      <c r="A42" s="2" t="s">
        <v>55</v>
      </c>
      <c r="B42" s="2" t="s">
        <v>11</v>
      </c>
      <c r="C42" s="2" t="n">
        <v>41</v>
      </c>
      <c r="D42" s="2" t="s">
        <v>50</v>
      </c>
      <c r="E42" s="2" t="n">
        <v>144</v>
      </c>
      <c r="F42" s="2" t="n">
        <v>99</v>
      </c>
      <c r="G42" s="2" t="n">
        <v>44</v>
      </c>
      <c r="H42" s="2" t="n">
        <v>92</v>
      </c>
      <c r="I42" s="2" t="n">
        <v>49</v>
      </c>
      <c r="J42" s="3" t="n">
        <f aca="false">ROUND(I42+(H42-I42)/3,1)</f>
        <v>63.3</v>
      </c>
    </row>
    <row r="43" customFormat="false" ht="15" hidden="false" customHeight="false" outlineLevel="0" collapsed="false">
      <c r="A43" s="2" t="s">
        <v>56</v>
      </c>
      <c r="B43" s="2" t="s">
        <v>11</v>
      </c>
      <c r="C43" s="2" t="n">
        <v>41</v>
      </c>
      <c r="D43" s="2" t="s">
        <v>50</v>
      </c>
      <c r="E43" s="2" t="n">
        <v>140</v>
      </c>
      <c r="F43" s="2" t="n">
        <v>98</v>
      </c>
      <c r="G43" s="2" t="n">
        <v>41</v>
      </c>
      <c r="H43" s="2" t="n">
        <v>88</v>
      </c>
      <c r="I43" s="2" t="n">
        <v>45</v>
      </c>
      <c r="J43" s="3" t="n">
        <f aca="false">ROUND(I43+(H43-I43)/3,1)</f>
        <v>59.3</v>
      </c>
    </row>
    <row r="44" customFormat="false" ht="15" hidden="false" customHeight="false" outlineLevel="0" collapsed="false">
      <c r="A44" s="2" t="s">
        <v>57</v>
      </c>
      <c r="B44" s="2" t="s">
        <v>11</v>
      </c>
      <c r="C44" s="2" t="n">
        <v>41</v>
      </c>
      <c r="D44" s="2" t="s">
        <v>50</v>
      </c>
      <c r="E44" s="2" t="n">
        <v>157</v>
      </c>
      <c r="F44" s="2" t="n">
        <v>98</v>
      </c>
      <c r="G44" s="2" t="n">
        <v>51</v>
      </c>
      <c r="H44" s="2" t="n">
        <v>84</v>
      </c>
      <c r="I44" s="2" t="n">
        <v>43</v>
      </c>
      <c r="J44" s="3" t="n">
        <f aca="false">ROUND(I44+(H44-I44)/3,1)</f>
        <v>56.7</v>
      </c>
    </row>
    <row r="45" customFormat="false" ht="15" hidden="false" customHeight="false" outlineLevel="0" collapsed="false">
      <c r="A45" s="2" t="s">
        <v>58</v>
      </c>
      <c r="B45" s="2" t="s">
        <v>11</v>
      </c>
      <c r="C45" s="2" t="n">
        <v>43</v>
      </c>
      <c r="D45" s="2" t="s">
        <v>50</v>
      </c>
      <c r="E45" s="2" t="n">
        <v>155</v>
      </c>
      <c r="F45" s="2" t="n">
        <v>98</v>
      </c>
      <c r="G45" s="2" t="n">
        <v>44</v>
      </c>
      <c r="H45" s="2" t="n">
        <v>85</v>
      </c>
      <c r="I45" s="2" t="n">
        <v>47</v>
      </c>
      <c r="J45" s="3" t="n">
        <f aca="false">ROUND(I45+(H45-I45)/3,1)</f>
        <v>59.7</v>
      </c>
    </row>
    <row r="46" customFormat="false" ht="15" hidden="false" customHeight="false" outlineLevel="0" collapsed="false">
      <c r="A46" s="2" t="s">
        <v>59</v>
      </c>
      <c r="B46" s="2" t="s">
        <v>11</v>
      </c>
      <c r="C46" s="2" t="n">
        <v>45</v>
      </c>
      <c r="D46" s="2" t="s">
        <v>50</v>
      </c>
      <c r="E46" s="2" t="n">
        <v>146</v>
      </c>
      <c r="F46" s="2" t="n">
        <v>98</v>
      </c>
      <c r="G46" s="2" t="n">
        <v>39</v>
      </c>
      <c r="H46" s="2" t="n">
        <v>79</v>
      </c>
      <c r="I46" s="2" t="n">
        <v>55</v>
      </c>
      <c r="J46" s="3" t="n">
        <f aca="false">ROUND(I46+(H46-I46)/3,1)</f>
        <v>63</v>
      </c>
    </row>
    <row r="47" customFormat="false" ht="15" hidden="false" customHeight="false" outlineLevel="0" collapsed="false">
      <c r="A47" s="2" t="s">
        <v>60</v>
      </c>
      <c r="B47" s="2" t="s">
        <v>11</v>
      </c>
      <c r="C47" s="2" t="n">
        <v>46</v>
      </c>
      <c r="D47" s="2" t="s">
        <v>50</v>
      </c>
      <c r="E47" s="2" t="n">
        <v>145</v>
      </c>
      <c r="F47" s="2" t="n">
        <v>99</v>
      </c>
      <c r="G47" s="2" t="n">
        <v>58</v>
      </c>
      <c r="H47" s="2" t="n">
        <v>84</v>
      </c>
      <c r="I47" s="2" t="n">
        <v>51</v>
      </c>
      <c r="J47" s="3" t="n">
        <f aca="false">ROUND(I47+(H47-I47)/3,1)</f>
        <v>62</v>
      </c>
    </row>
    <row r="48" customFormat="false" ht="15" hidden="false" customHeight="false" outlineLevel="0" collapsed="false">
      <c r="A48" s="2" t="s">
        <v>61</v>
      </c>
      <c r="B48" s="2" t="s">
        <v>11</v>
      </c>
      <c r="C48" s="2" t="n">
        <v>47</v>
      </c>
      <c r="D48" s="2" t="s">
        <v>50</v>
      </c>
      <c r="E48" s="2" t="n">
        <v>128</v>
      </c>
      <c r="F48" s="2" t="n">
        <v>100</v>
      </c>
      <c r="G48" s="2" t="n">
        <v>49</v>
      </c>
      <c r="H48" s="2" t="n">
        <v>83</v>
      </c>
      <c r="I48" s="2" t="n">
        <v>59</v>
      </c>
      <c r="J48" s="3" t="n">
        <f aca="false">ROUND(I48+(H48-I48)/3,1)</f>
        <v>67</v>
      </c>
    </row>
    <row r="49" customFormat="false" ht="15" hidden="false" customHeight="false" outlineLevel="0" collapsed="false">
      <c r="A49" s="2" t="s">
        <v>62</v>
      </c>
      <c r="B49" s="2" t="s">
        <v>11</v>
      </c>
      <c r="C49" s="2" t="n">
        <v>49</v>
      </c>
      <c r="D49" s="2" t="s">
        <v>50</v>
      </c>
      <c r="E49" s="2" t="n">
        <v>119</v>
      </c>
      <c r="F49" s="2" t="n">
        <v>97</v>
      </c>
      <c r="G49" s="2" t="n">
        <v>40</v>
      </c>
      <c r="H49" s="2" t="n">
        <v>81</v>
      </c>
      <c r="I49" s="2" t="n">
        <v>54</v>
      </c>
      <c r="J49" s="3" t="n">
        <f aca="false">ROUND(I49+(H49-I49)/3,1)</f>
        <v>63</v>
      </c>
    </row>
    <row r="50" customFormat="false" ht="15" hidden="false" customHeight="false" outlineLevel="0" collapsed="false">
      <c r="A50" s="2" t="s">
        <v>63</v>
      </c>
      <c r="B50" s="2" t="s">
        <v>11</v>
      </c>
      <c r="C50" s="2" t="n">
        <v>50</v>
      </c>
      <c r="D50" s="2" t="s">
        <v>50</v>
      </c>
      <c r="E50" s="2" t="n">
        <v>130</v>
      </c>
      <c r="F50" s="2" t="n">
        <v>98</v>
      </c>
      <c r="G50" s="2" t="n">
        <v>43</v>
      </c>
      <c r="H50" s="2" t="n">
        <v>79</v>
      </c>
      <c r="I50" s="2" t="n">
        <v>46</v>
      </c>
      <c r="J50" s="3" t="n">
        <f aca="false">ROUND(I50+(H50-I50)/3,1)</f>
        <v>57</v>
      </c>
    </row>
    <row r="51" customFormat="false" ht="15" hidden="false" customHeight="false" outlineLevel="0" collapsed="false">
      <c r="A51" s="2" t="s">
        <v>64</v>
      </c>
      <c r="B51" s="2" t="s">
        <v>16</v>
      </c>
      <c r="C51" s="2" t="n">
        <v>50</v>
      </c>
      <c r="D51" s="2" t="s">
        <v>50</v>
      </c>
      <c r="E51" s="2" t="n">
        <v>153</v>
      </c>
      <c r="F51" s="2" t="n">
        <v>97</v>
      </c>
      <c r="G51" s="2" t="n">
        <v>40</v>
      </c>
      <c r="H51" s="2" t="n">
        <v>82</v>
      </c>
      <c r="I51" s="2" t="n">
        <v>52</v>
      </c>
      <c r="J51" s="3" t="n">
        <f aca="false">ROUND(I51+(H51-I51)/3,1)</f>
        <v>62</v>
      </c>
    </row>
    <row r="52" customFormat="false" ht="15" hidden="false" customHeight="false" outlineLevel="0" collapsed="false">
      <c r="A52" s="2" t="s">
        <v>65</v>
      </c>
      <c r="B52" s="2" t="s">
        <v>11</v>
      </c>
      <c r="C52" s="2" t="n">
        <v>51</v>
      </c>
      <c r="D52" s="2" t="s">
        <v>50</v>
      </c>
      <c r="E52" s="2" t="n">
        <v>135</v>
      </c>
      <c r="F52" s="2" t="n">
        <v>98</v>
      </c>
      <c r="G52" s="2" t="n">
        <v>41</v>
      </c>
      <c r="H52" s="2" t="n">
        <v>77</v>
      </c>
      <c r="I52" s="2" t="n">
        <v>50</v>
      </c>
      <c r="J52" s="3" t="n">
        <f aca="false">ROUND(I52+(H52-I52)/3,1)</f>
        <v>59</v>
      </c>
    </row>
    <row r="53" customFormat="false" ht="15" hidden="false" customHeight="false" outlineLevel="0" collapsed="false">
      <c r="A53" s="2" t="s">
        <v>66</v>
      </c>
      <c r="B53" s="2" t="s">
        <v>11</v>
      </c>
      <c r="C53" s="2" t="n">
        <v>55</v>
      </c>
      <c r="D53" s="2" t="s">
        <v>50</v>
      </c>
      <c r="E53" s="2" t="n">
        <v>163</v>
      </c>
      <c r="F53" s="2" t="n">
        <v>98</v>
      </c>
      <c r="G53" s="2" t="n">
        <v>40</v>
      </c>
      <c r="H53" s="2" t="n">
        <v>86</v>
      </c>
      <c r="I53" s="2" t="n">
        <v>45</v>
      </c>
      <c r="J53" s="3" t="n">
        <f aca="false">ROUND(I53+(H53-I53)/3,1)</f>
        <v>58.7</v>
      </c>
    </row>
    <row r="54" customFormat="false" ht="15" hidden="false" customHeight="false" outlineLevel="0" collapsed="false">
      <c r="A54" s="2" t="s">
        <v>67</v>
      </c>
      <c r="B54" s="2" t="s">
        <v>16</v>
      </c>
      <c r="C54" s="2" t="n">
        <v>55</v>
      </c>
      <c r="D54" s="2" t="s">
        <v>50</v>
      </c>
      <c r="E54" s="2" t="n">
        <v>126</v>
      </c>
      <c r="F54" s="2" t="n">
        <v>99</v>
      </c>
      <c r="G54" s="2" t="n">
        <v>41</v>
      </c>
      <c r="H54" s="2" t="n">
        <v>80</v>
      </c>
      <c r="I54" s="2" t="n">
        <v>48</v>
      </c>
      <c r="J54" s="3" t="n">
        <f aca="false">ROUND(I54+(H54-I54)/3,1)</f>
        <v>58.7</v>
      </c>
    </row>
    <row r="55" customFormat="false" ht="15" hidden="false" customHeight="false" outlineLevel="0" collapsed="false">
      <c r="A55" s="2" t="s">
        <v>68</v>
      </c>
      <c r="B55" s="2" t="s">
        <v>16</v>
      </c>
      <c r="C55" s="2" t="n">
        <v>56</v>
      </c>
      <c r="D55" s="2" t="s">
        <v>50</v>
      </c>
      <c r="E55" s="2" t="n">
        <v>137</v>
      </c>
      <c r="F55" s="2" t="n">
        <v>98</v>
      </c>
      <c r="G55" s="2" t="n">
        <v>44</v>
      </c>
      <c r="H55" s="2" t="n">
        <v>86</v>
      </c>
      <c r="I55" s="2" t="n">
        <v>49</v>
      </c>
      <c r="J55" s="3" t="n">
        <f aca="false">ROUND(I55+(H55-I55)/3,1)</f>
        <v>61.3</v>
      </c>
    </row>
    <row r="56" customFormat="false" ht="15" hidden="false" customHeight="false" outlineLevel="0" collapsed="false">
      <c r="A56" s="2" t="s">
        <v>69</v>
      </c>
      <c r="B56" s="2" t="s">
        <v>16</v>
      </c>
      <c r="C56" s="2" t="n">
        <v>57</v>
      </c>
      <c r="D56" s="2" t="s">
        <v>50</v>
      </c>
      <c r="E56" s="2" t="n">
        <v>139</v>
      </c>
      <c r="F56" s="2" t="n">
        <v>98</v>
      </c>
      <c r="G56" s="2" t="n">
        <v>47</v>
      </c>
      <c r="H56" s="2" t="n">
        <v>70</v>
      </c>
      <c r="I56" s="2" t="n">
        <v>50</v>
      </c>
      <c r="J56" s="3" t="n">
        <f aca="false">ROUND(I56+(H56-I56)/3,1)</f>
        <v>56.7</v>
      </c>
    </row>
    <row r="57" customFormat="false" ht="15" hidden="false" customHeight="false" outlineLevel="0" collapsed="false">
      <c r="A57" s="2" t="s">
        <v>70</v>
      </c>
      <c r="B57" s="2" t="s">
        <v>11</v>
      </c>
      <c r="C57" s="2" t="n">
        <v>58</v>
      </c>
      <c r="D57" s="2" t="s">
        <v>50</v>
      </c>
      <c r="E57" s="2" t="n">
        <v>160</v>
      </c>
      <c r="F57" s="2" t="n">
        <v>99</v>
      </c>
      <c r="G57" s="2" t="n">
        <v>51</v>
      </c>
      <c r="H57" s="2" t="n">
        <v>89</v>
      </c>
      <c r="I57" s="2" t="n">
        <v>60</v>
      </c>
      <c r="J57" s="3" t="n">
        <f aca="false">ROUND(I57+(H57-I57)/3,1)</f>
        <v>69.7</v>
      </c>
    </row>
    <row r="58" customFormat="false" ht="15" hidden="false" customHeight="false" outlineLevel="0" collapsed="false">
      <c r="A58" s="2" t="s">
        <v>71</v>
      </c>
      <c r="B58" s="2" t="s">
        <v>11</v>
      </c>
      <c r="C58" s="2" t="n">
        <v>61</v>
      </c>
      <c r="D58" s="2" t="s">
        <v>50</v>
      </c>
      <c r="E58" s="2" t="n">
        <v>128</v>
      </c>
      <c r="F58" s="2" t="n">
        <v>98</v>
      </c>
      <c r="G58" s="2" t="n">
        <v>44</v>
      </c>
      <c r="H58" s="2" t="n">
        <v>78</v>
      </c>
      <c r="I58" s="2" t="n">
        <v>58</v>
      </c>
      <c r="J58" s="3" t="n">
        <f aca="false">ROUND(I58+(H58-I58)/3,1)</f>
        <v>64.7</v>
      </c>
    </row>
    <row r="59" customFormat="false" ht="15" hidden="false" customHeight="false" outlineLevel="0" collapsed="false">
      <c r="A59" s="2" t="s">
        <v>72</v>
      </c>
      <c r="B59" s="2" t="s">
        <v>11</v>
      </c>
      <c r="C59" s="2" t="n">
        <v>61</v>
      </c>
      <c r="D59" s="2" t="s">
        <v>50</v>
      </c>
      <c r="E59" s="2" t="n">
        <v>132</v>
      </c>
      <c r="F59" s="2" t="n">
        <v>99</v>
      </c>
      <c r="G59" s="2" t="n">
        <v>44</v>
      </c>
      <c r="H59" s="2" t="n">
        <v>80</v>
      </c>
      <c r="I59" s="2" t="n">
        <v>48</v>
      </c>
      <c r="J59" s="3" t="n">
        <f aca="false">ROUND(I59+(H59-I59)/3,1)</f>
        <v>58.7</v>
      </c>
    </row>
    <row r="60" customFormat="false" ht="15" hidden="false" customHeight="false" outlineLevel="0" collapsed="false">
      <c r="A60" s="2" t="s">
        <v>73</v>
      </c>
      <c r="B60" s="2" t="s">
        <v>11</v>
      </c>
      <c r="C60" s="2" t="n">
        <v>65</v>
      </c>
      <c r="D60" s="2" t="s">
        <v>50</v>
      </c>
      <c r="E60" s="2" t="n">
        <v>149</v>
      </c>
      <c r="F60" s="2" t="n">
        <v>97</v>
      </c>
      <c r="G60" s="2" t="n">
        <v>35</v>
      </c>
      <c r="H60" s="2" t="n">
        <v>79</v>
      </c>
      <c r="I60" s="2" t="n">
        <v>49</v>
      </c>
      <c r="J60" s="3" t="n">
        <f aca="false">ROUND(I60+(H60-I60)/3,1)</f>
        <v>59</v>
      </c>
    </row>
    <row r="61" customFormat="false" ht="15" hidden="false" customHeight="false" outlineLevel="0" collapsed="false">
      <c r="A61" s="2" t="s">
        <v>74</v>
      </c>
      <c r="B61" s="2" t="s">
        <v>11</v>
      </c>
      <c r="C61" s="2" t="n">
        <v>66</v>
      </c>
      <c r="D61" s="2" t="s">
        <v>50</v>
      </c>
      <c r="E61" s="2" t="n">
        <v>166</v>
      </c>
      <c r="F61" s="2" t="n">
        <v>98</v>
      </c>
      <c r="G61" s="2" t="n">
        <v>47</v>
      </c>
      <c r="H61" s="2" t="n">
        <v>83</v>
      </c>
      <c r="I61" s="2" t="n">
        <v>56</v>
      </c>
      <c r="J61" s="3" t="n">
        <f aca="false">ROUND(I61+(H61-I61)/3,1)</f>
        <v>65</v>
      </c>
    </row>
    <row r="62" customFormat="false" ht="15" hidden="false" customHeight="false" outlineLevel="0" collapsed="false">
      <c r="A62" s="2" t="s">
        <v>75</v>
      </c>
      <c r="B62" s="2" t="s">
        <v>11</v>
      </c>
      <c r="C62" s="2" t="n">
        <v>70</v>
      </c>
      <c r="D62" s="2" t="s">
        <v>50</v>
      </c>
      <c r="E62" s="2" t="n">
        <v>148</v>
      </c>
      <c r="F62" s="2" t="n">
        <v>99</v>
      </c>
      <c r="G62" s="2" t="n">
        <v>47</v>
      </c>
      <c r="H62" s="2" t="n">
        <v>78</v>
      </c>
      <c r="I62" s="2" t="n">
        <v>40</v>
      </c>
      <c r="J62" s="3" t="n">
        <f aca="false">ROUND(I62+(H62-I62)/3,1)</f>
        <v>52.7</v>
      </c>
    </row>
    <row r="63" customFormat="false" ht="15" hidden="false" customHeight="false" outlineLevel="0" collapsed="false">
      <c r="A63" s="2" t="s">
        <v>76</v>
      </c>
      <c r="B63" s="2" t="s">
        <v>16</v>
      </c>
      <c r="C63" s="2" t="n">
        <v>70</v>
      </c>
      <c r="D63" s="2" t="s">
        <v>50</v>
      </c>
      <c r="E63" s="2" t="n">
        <v>143</v>
      </c>
      <c r="F63" s="2" t="n">
        <v>97</v>
      </c>
      <c r="G63" s="2" t="n">
        <v>44</v>
      </c>
      <c r="H63" s="2" t="n">
        <v>83</v>
      </c>
      <c r="I63" s="2" t="n">
        <v>54</v>
      </c>
      <c r="J63" s="3" t="n">
        <f aca="false">ROUND(I63+(H63-I63)/3,1)</f>
        <v>63.7</v>
      </c>
    </row>
    <row r="64" customFormat="false" ht="15" hidden="false" customHeight="false" outlineLevel="0" collapsed="false">
      <c r="A64" s="2" t="s">
        <v>77</v>
      </c>
      <c r="B64" s="2" t="s">
        <v>16</v>
      </c>
      <c r="C64" s="2" t="n">
        <v>78</v>
      </c>
      <c r="D64" s="2" t="s">
        <v>50</v>
      </c>
      <c r="E64" s="2" t="n">
        <v>150</v>
      </c>
      <c r="F64" s="2" t="n">
        <v>96</v>
      </c>
      <c r="G64" s="2" t="n">
        <v>49</v>
      </c>
      <c r="H64" s="2" t="n">
        <v>75</v>
      </c>
      <c r="I64" s="2" t="n">
        <v>55</v>
      </c>
      <c r="J64" s="3" t="n">
        <f aca="false">ROUND(I64+(H64-I64)/3,1)</f>
        <v>61.7</v>
      </c>
    </row>
    <row r="65" customFormat="false" ht="15" hidden="false" customHeight="false" outlineLevel="0" collapsed="false">
      <c r="A65" s="2" t="s">
        <v>78</v>
      </c>
      <c r="B65" s="2" t="s">
        <v>11</v>
      </c>
      <c r="C65" s="2" t="n">
        <v>80</v>
      </c>
      <c r="D65" s="2" t="s">
        <v>50</v>
      </c>
      <c r="E65" s="2" t="n">
        <v>152</v>
      </c>
      <c r="F65" s="2" t="n">
        <v>98</v>
      </c>
      <c r="G65" s="2" t="n">
        <v>40</v>
      </c>
      <c r="H65" s="2" t="n">
        <v>86</v>
      </c>
      <c r="I65" s="2" t="n">
        <v>47</v>
      </c>
      <c r="J65" s="3" t="n">
        <f aca="false">ROUND(I65+(H65-I65)/3,1)</f>
        <v>60</v>
      </c>
    </row>
    <row r="66" customFormat="false" ht="15" hidden="false" customHeight="false" outlineLevel="0" collapsed="false">
      <c r="A66" s="2" t="s">
        <v>79</v>
      </c>
      <c r="B66" s="2" t="s">
        <v>16</v>
      </c>
      <c r="C66" s="2" t="n">
        <v>81</v>
      </c>
      <c r="D66" s="2" t="s">
        <v>50</v>
      </c>
      <c r="E66" s="2" t="n">
        <v>122</v>
      </c>
      <c r="F66" s="2" t="n">
        <v>98</v>
      </c>
      <c r="G66" s="2" t="n">
        <v>36</v>
      </c>
      <c r="H66" s="2" t="n">
        <v>89</v>
      </c>
      <c r="I66" s="2" t="n">
        <v>60</v>
      </c>
      <c r="J66" s="3" t="n">
        <f aca="false">ROUND(I66+(H66-I66)/3,1)</f>
        <v>69.7</v>
      </c>
    </row>
    <row r="67" customFormat="false" ht="15" hidden="false" customHeight="false" outlineLevel="0" collapsed="false">
      <c r="A67" s="2" t="s">
        <v>80</v>
      </c>
      <c r="B67" s="2" t="s">
        <v>11</v>
      </c>
      <c r="C67" s="2" t="n">
        <v>83</v>
      </c>
      <c r="D67" s="2" t="s">
        <v>50</v>
      </c>
      <c r="E67" s="2" t="n">
        <v>148</v>
      </c>
      <c r="F67" s="2" t="n">
        <v>97</v>
      </c>
      <c r="G67" s="2" t="n">
        <v>50</v>
      </c>
      <c r="H67" s="2" t="n">
        <v>79</v>
      </c>
      <c r="I67" s="2" t="n">
        <v>49</v>
      </c>
      <c r="J67" s="3" t="n">
        <f aca="false">ROUND(I67+(H67-I67)/3,1)</f>
        <v>59</v>
      </c>
    </row>
    <row r="68" customFormat="false" ht="15" hidden="false" customHeight="false" outlineLevel="0" collapsed="false">
      <c r="A68" s="2" t="s">
        <v>81</v>
      </c>
      <c r="B68" s="2" t="s">
        <v>16</v>
      </c>
      <c r="C68" s="2" t="n">
        <v>86</v>
      </c>
      <c r="D68" s="2" t="s">
        <v>50</v>
      </c>
      <c r="E68" s="2" t="n">
        <v>141</v>
      </c>
      <c r="F68" s="2" t="n">
        <v>98</v>
      </c>
      <c r="G68" s="2" t="n">
        <v>52</v>
      </c>
      <c r="H68" s="2" t="n">
        <v>93</v>
      </c>
      <c r="I68" s="2" t="n">
        <v>50</v>
      </c>
      <c r="J68" s="3" t="n">
        <f aca="false">ROUND(I68+(H68-I68)/3,1)</f>
        <v>64.3</v>
      </c>
    </row>
    <row r="69" customFormat="false" ht="15" hidden="false" customHeight="false" outlineLevel="0" collapsed="false">
      <c r="A69" s="2" t="s">
        <v>82</v>
      </c>
      <c r="B69" s="2" t="s">
        <v>16</v>
      </c>
      <c r="C69" s="2" t="n">
        <v>88</v>
      </c>
      <c r="D69" s="2" t="s">
        <v>50</v>
      </c>
      <c r="E69" s="2" t="n">
        <v>138</v>
      </c>
      <c r="F69" s="2" t="n">
        <v>99</v>
      </c>
      <c r="G69" s="2" t="n">
        <v>44</v>
      </c>
      <c r="H69" s="2" t="n">
        <v>88</v>
      </c>
      <c r="I69" s="2" t="n">
        <v>56</v>
      </c>
      <c r="J69" s="3" t="n">
        <f aca="false">ROUND(I69+(H69-I69)/3,1)</f>
        <v>66.7</v>
      </c>
    </row>
    <row r="70" customFormat="false" ht="15" hidden="false" customHeight="false" outlineLevel="0" collapsed="false">
      <c r="A70" s="2" t="s">
        <v>83</v>
      </c>
      <c r="B70" s="2" t="s">
        <v>11</v>
      </c>
      <c r="C70" s="2" t="n">
        <v>88</v>
      </c>
      <c r="D70" s="2" t="s">
        <v>50</v>
      </c>
      <c r="E70" s="2" t="n">
        <v>133</v>
      </c>
      <c r="F70" s="2" t="n">
        <v>99</v>
      </c>
      <c r="G70" s="2" t="n">
        <v>49</v>
      </c>
      <c r="H70" s="2" t="n">
        <v>81</v>
      </c>
      <c r="I70" s="2" t="n">
        <v>54</v>
      </c>
      <c r="J70" s="3" t="n">
        <f aca="false">ROUND(I70+(H70-I70)/3,1)</f>
        <v>63</v>
      </c>
    </row>
    <row r="71" customFormat="false" ht="15" hidden="false" customHeight="false" outlineLevel="0" collapsed="false">
      <c r="A71" s="2" t="s">
        <v>84</v>
      </c>
      <c r="B71" s="2" t="s">
        <v>16</v>
      </c>
      <c r="C71" s="2" t="n">
        <v>90</v>
      </c>
      <c r="D71" s="2" t="s">
        <v>50</v>
      </c>
      <c r="E71" s="2" t="n">
        <v>143</v>
      </c>
      <c r="F71" s="2" t="n">
        <v>99</v>
      </c>
      <c r="G71" s="2" t="n">
        <v>36</v>
      </c>
      <c r="H71" s="2" t="n">
        <v>103</v>
      </c>
      <c r="I71" s="2" t="n">
        <v>59</v>
      </c>
      <c r="J71" s="3" t="n">
        <f aca="false">ROUND(I71+(H71-I71)/3,1)</f>
        <v>73.7</v>
      </c>
    </row>
    <row r="72" customFormat="false" ht="15" hidden="false" customHeight="false" outlineLevel="0" collapsed="false">
      <c r="A72" s="2" t="s">
        <v>85</v>
      </c>
      <c r="B72" s="2" t="s">
        <v>11</v>
      </c>
      <c r="C72" s="2" t="n">
        <v>91</v>
      </c>
      <c r="D72" s="2" t="s">
        <v>86</v>
      </c>
      <c r="E72" s="2" t="n">
        <v>151</v>
      </c>
      <c r="F72" s="2" t="n">
        <v>98</v>
      </c>
      <c r="G72" s="2" t="n">
        <v>37</v>
      </c>
      <c r="H72" s="2" t="n">
        <v>92</v>
      </c>
      <c r="I72" s="2" t="n">
        <v>52</v>
      </c>
      <c r="J72" s="3" t="n">
        <f aca="false">ROUND(I72+(H72-I72)/3,1)</f>
        <v>65.3</v>
      </c>
    </row>
    <row r="73" customFormat="false" ht="15" hidden="false" customHeight="false" outlineLevel="0" collapsed="false">
      <c r="A73" s="2" t="s">
        <v>87</v>
      </c>
      <c r="B73" s="2" t="s">
        <v>11</v>
      </c>
      <c r="C73" s="2" t="n">
        <v>98</v>
      </c>
      <c r="D73" s="2" t="s">
        <v>86</v>
      </c>
      <c r="E73" s="2" t="n">
        <v>119</v>
      </c>
      <c r="F73" s="2" t="n">
        <v>96</v>
      </c>
      <c r="G73" s="2" t="n">
        <v>37</v>
      </c>
      <c r="H73" s="2" t="n">
        <v>97</v>
      </c>
      <c r="I73" s="2" t="n">
        <v>55</v>
      </c>
      <c r="J73" s="3" t="n">
        <f aca="false">ROUND(I73+(H73-I73)/3,1)</f>
        <v>69</v>
      </c>
    </row>
    <row r="74" customFormat="false" ht="15" hidden="false" customHeight="false" outlineLevel="0" collapsed="false">
      <c r="A74" s="2" t="s">
        <v>88</v>
      </c>
      <c r="B74" s="2" t="s">
        <v>16</v>
      </c>
      <c r="C74" s="2" t="n">
        <v>100</v>
      </c>
      <c r="D74" s="2" t="s">
        <v>86</v>
      </c>
      <c r="E74" s="2" t="n">
        <v>150</v>
      </c>
      <c r="F74" s="2" t="n">
        <v>97</v>
      </c>
      <c r="G74" s="2" t="n">
        <v>40</v>
      </c>
      <c r="H74" s="2" t="n">
        <v>87</v>
      </c>
      <c r="I74" s="2" t="n">
        <v>49</v>
      </c>
      <c r="J74" s="3" t="n">
        <f aca="false">ROUND(I74+(H74-I74)/3,1)</f>
        <v>61.7</v>
      </c>
    </row>
    <row r="75" customFormat="false" ht="15" hidden="false" customHeight="false" outlineLevel="0" collapsed="false">
      <c r="A75" s="2" t="s">
        <v>89</v>
      </c>
      <c r="B75" s="2" t="s">
        <v>11</v>
      </c>
      <c r="C75" s="2" t="n">
        <v>104</v>
      </c>
      <c r="D75" s="2" t="s">
        <v>86</v>
      </c>
      <c r="E75" s="2" t="n">
        <v>141</v>
      </c>
      <c r="F75" s="2" t="n">
        <v>98</v>
      </c>
      <c r="G75" s="2" t="n">
        <v>42</v>
      </c>
      <c r="H75" s="2" t="n">
        <v>81</v>
      </c>
      <c r="I75" s="2" t="n">
        <v>48</v>
      </c>
      <c r="J75" s="3" t="n">
        <f aca="false">ROUND(I75+(H75-I75)/3,1)</f>
        <v>59</v>
      </c>
    </row>
    <row r="76" customFormat="false" ht="15" hidden="false" customHeight="false" outlineLevel="0" collapsed="false">
      <c r="A76" s="2" t="s">
        <v>90</v>
      </c>
      <c r="B76" s="2" t="s">
        <v>11</v>
      </c>
      <c r="C76" s="2" t="n">
        <v>108</v>
      </c>
      <c r="D76" s="2" t="s">
        <v>86</v>
      </c>
      <c r="E76" s="2" t="n">
        <v>139</v>
      </c>
      <c r="F76" s="2" t="n">
        <v>96</v>
      </c>
      <c r="G76" s="2" t="n">
        <v>47</v>
      </c>
      <c r="H76" s="2" t="n">
        <v>82</v>
      </c>
      <c r="I76" s="2" t="n">
        <v>52</v>
      </c>
      <c r="J76" s="3" t="n">
        <f aca="false">ROUND(I76+(H76-I76)/3,1)</f>
        <v>62</v>
      </c>
    </row>
    <row r="77" customFormat="false" ht="15" hidden="false" customHeight="false" outlineLevel="0" collapsed="false">
      <c r="A77" s="2" t="s">
        <v>91</v>
      </c>
      <c r="B77" s="2" t="s">
        <v>16</v>
      </c>
      <c r="C77" s="2" t="n">
        <v>111</v>
      </c>
      <c r="D77" s="2" t="s">
        <v>86</v>
      </c>
      <c r="E77" s="2" t="n">
        <v>131</v>
      </c>
      <c r="F77" s="2" t="n">
        <v>98</v>
      </c>
      <c r="G77" s="2" t="n">
        <v>50</v>
      </c>
      <c r="H77" s="2" t="n">
        <v>80</v>
      </c>
      <c r="I77" s="2" t="n">
        <v>43</v>
      </c>
      <c r="J77" s="3" t="n">
        <f aca="false">ROUND(I77+(H77-I77)/3,1)</f>
        <v>55.3</v>
      </c>
    </row>
    <row r="78" customFormat="false" ht="15" hidden="false" customHeight="false" outlineLevel="0" collapsed="false">
      <c r="A78" s="2" t="s">
        <v>92</v>
      </c>
      <c r="B78" s="2" t="s">
        <v>16</v>
      </c>
      <c r="C78" s="2" t="n">
        <v>114</v>
      </c>
      <c r="D78" s="2" t="s">
        <v>86</v>
      </c>
      <c r="E78" s="2" t="n">
        <v>136</v>
      </c>
      <c r="F78" s="2" t="n">
        <v>98</v>
      </c>
      <c r="G78" s="2" t="n">
        <v>48</v>
      </c>
      <c r="H78" s="2" t="n">
        <v>73</v>
      </c>
      <c r="I78" s="2" t="n">
        <v>46</v>
      </c>
      <c r="J78" s="3" t="n">
        <f aca="false">ROUND(I78+(H78-I78)/3,1)</f>
        <v>55</v>
      </c>
    </row>
    <row r="79" customFormat="false" ht="15" hidden="false" customHeight="false" outlineLevel="0" collapsed="false">
      <c r="A79" s="2" t="s">
        <v>93</v>
      </c>
      <c r="B79" s="2" t="s">
        <v>16</v>
      </c>
      <c r="C79" s="2" t="n">
        <v>119</v>
      </c>
      <c r="D79" s="2" t="s">
        <v>86</v>
      </c>
      <c r="E79" s="2" t="n">
        <v>151</v>
      </c>
      <c r="F79" s="2" t="n">
        <v>98</v>
      </c>
      <c r="G79" s="2" t="n">
        <v>41</v>
      </c>
      <c r="H79" s="2" t="n">
        <v>93</v>
      </c>
      <c r="I79" s="2" t="n">
        <v>59</v>
      </c>
      <c r="J79" s="3" t="n">
        <f aca="false">ROUND(I79+(H79-I79)/3,1)</f>
        <v>70.3</v>
      </c>
    </row>
    <row r="80" customFormat="false" ht="15" hidden="false" customHeight="false" outlineLevel="0" collapsed="false">
      <c r="A80" s="2" t="s">
        <v>94</v>
      </c>
      <c r="B80" s="2" t="s">
        <v>16</v>
      </c>
      <c r="C80" s="2" t="n">
        <v>119</v>
      </c>
      <c r="D80" s="2" t="s">
        <v>86</v>
      </c>
      <c r="E80" s="2" t="n">
        <v>129</v>
      </c>
      <c r="F80" s="2" t="n">
        <v>97</v>
      </c>
      <c r="G80" s="2" t="n">
        <v>43</v>
      </c>
      <c r="H80" s="2" t="n">
        <v>80</v>
      </c>
      <c r="I80" s="2" t="n">
        <v>56</v>
      </c>
      <c r="J80" s="3" t="n">
        <f aca="false">ROUND(I80+(H80-I80)/3,1)</f>
        <v>64</v>
      </c>
    </row>
    <row r="81" customFormat="false" ht="15" hidden="false" customHeight="false" outlineLevel="0" collapsed="false">
      <c r="A81" s="2" t="s">
        <v>95</v>
      </c>
      <c r="B81" s="2" t="s">
        <v>11</v>
      </c>
      <c r="C81" s="2" t="n">
        <v>127</v>
      </c>
      <c r="D81" s="2" t="s">
        <v>86</v>
      </c>
      <c r="E81" s="2" t="n">
        <v>138</v>
      </c>
      <c r="F81" s="2" t="n">
        <v>99</v>
      </c>
      <c r="G81" s="2" t="n">
        <v>42</v>
      </c>
      <c r="H81" s="2" t="n">
        <v>80</v>
      </c>
      <c r="I81" s="2" t="n">
        <v>55</v>
      </c>
      <c r="J81" s="3" t="n">
        <f aca="false">ROUND(I81+(H81-I81)/3,1)</f>
        <v>63.3</v>
      </c>
    </row>
    <row r="82" customFormat="false" ht="15" hidden="false" customHeight="false" outlineLevel="0" collapsed="false">
      <c r="A82" s="2" t="s">
        <v>96</v>
      </c>
      <c r="B82" s="2" t="s">
        <v>16</v>
      </c>
      <c r="C82" s="2" t="n">
        <v>128</v>
      </c>
      <c r="D82" s="2" t="s">
        <v>86</v>
      </c>
      <c r="E82" s="2" t="n">
        <v>134</v>
      </c>
      <c r="F82" s="2" t="n">
        <v>97</v>
      </c>
      <c r="G82" s="2" t="n">
        <v>47</v>
      </c>
      <c r="H82" s="2" t="n">
        <v>81</v>
      </c>
      <c r="I82" s="2" t="n">
        <v>56</v>
      </c>
      <c r="J82" s="3" t="n">
        <f aca="false">ROUND(I82+(H82-I82)/3,1)</f>
        <v>64.3</v>
      </c>
    </row>
    <row r="83" customFormat="false" ht="15" hidden="false" customHeight="false" outlineLevel="0" collapsed="false">
      <c r="A83" s="2" t="s">
        <v>97</v>
      </c>
      <c r="B83" s="2" t="s">
        <v>16</v>
      </c>
      <c r="C83" s="2" t="n">
        <v>128</v>
      </c>
      <c r="D83" s="2" t="s">
        <v>86</v>
      </c>
      <c r="E83" s="2" t="n">
        <v>119</v>
      </c>
      <c r="F83" s="2" t="n">
        <v>98</v>
      </c>
      <c r="G83" s="2" t="n">
        <v>45</v>
      </c>
      <c r="H83" s="2" t="n">
        <v>69</v>
      </c>
      <c r="I83" s="2" t="n">
        <v>49</v>
      </c>
      <c r="J83" s="3" t="n">
        <f aca="false">ROUND(I83+(H83-I83)/3,1)</f>
        <v>55.7</v>
      </c>
    </row>
    <row r="84" customFormat="false" ht="15" hidden="false" customHeight="false" outlineLevel="0" collapsed="false">
      <c r="A84" s="2" t="s">
        <v>98</v>
      </c>
      <c r="B84" s="2" t="s">
        <v>11</v>
      </c>
      <c r="C84" s="2" t="n">
        <v>129</v>
      </c>
      <c r="D84" s="2" t="s">
        <v>86</v>
      </c>
      <c r="E84" s="2" t="n">
        <v>122</v>
      </c>
      <c r="F84" s="2" t="n">
        <v>99</v>
      </c>
      <c r="G84" s="2" t="n">
        <v>43</v>
      </c>
      <c r="H84" s="2" t="n">
        <v>100</v>
      </c>
      <c r="I84" s="2" t="n">
        <v>57</v>
      </c>
      <c r="J84" s="3" t="n">
        <f aca="false">ROUND(I84+(H84-I84)/3,1)</f>
        <v>71.3</v>
      </c>
    </row>
    <row r="85" customFormat="false" ht="15" hidden="false" customHeight="false" outlineLevel="0" collapsed="false">
      <c r="A85" s="2" t="s">
        <v>99</v>
      </c>
      <c r="B85" s="2" t="s">
        <v>11</v>
      </c>
      <c r="C85" s="2" t="n">
        <v>129</v>
      </c>
      <c r="D85" s="2" t="s">
        <v>86</v>
      </c>
      <c r="E85" s="2" t="n">
        <v>121</v>
      </c>
      <c r="F85" s="2" t="n">
        <v>98</v>
      </c>
      <c r="G85" s="2" t="n">
        <v>35</v>
      </c>
      <c r="H85" s="2" t="n">
        <v>95</v>
      </c>
      <c r="I85" s="2" t="n">
        <v>44</v>
      </c>
      <c r="J85" s="3" t="n">
        <f aca="false">ROUND(I85+(H85-I85)/3,1)</f>
        <v>61</v>
      </c>
    </row>
    <row r="86" customFormat="false" ht="15" hidden="false" customHeight="false" outlineLevel="0" collapsed="false">
      <c r="A86" s="2" t="s">
        <v>100</v>
      </c>
      <c r="B86" s="2" t="s">
        <v>16</v>
      </c>
      <c r="C86" s="2" t="n">
        <v>132</v>
      </c>
      <c r="D86" s="2" t="s">
        <v>86</v>
      </c>
      <c r="E86" s="2" t="n">
        <v>143</v>
      </c>
      <c r="F86" s="2" t="n">
        <v>98</v>
      </c>
      <c r="G86" s="2" t="n">
        <v>45</v>
      </c>
      <c r="H86" s="2" t="n">
        <v>105</v>
      </c>
      <c r="I86" s="2" t="n">
        <v>56</v>
      </c>
      <c r="J86" s="3" t="n">
        <f aca="false">ROUND(I86+(H86-I86)/3,1)</f>
        <v>72.3</v>
      </c>
    </row>
    <row r="87" customFormat="false" ht="15" hidden="false" customHeight="false" outlineLevel="0" collapsed="false">
      <c r="A87" s="2" t="s">
        <v>101</v>
      </c>
      <c r="B87" s="2" t="s">
        <v>11</v>
      </c>
      <c r="C87" s="2" t="n">
        <v>133</v>
      </c>
      <c r="D87" s="2" t="s">
        <v>86</v>
      </c>
      <c r="E87" s="2" t="n">
        <v>143</v>
      </c>
      <c r="F87" s="2" t="n">
        <v>97</v>
      </c>
      <c r="G87" s="2" t="n">
        <v>37</v>
      </c>
      <c r="H87" s="2" t="n">
        <v>90</v>
      </c>
      <c r="I87" s="2" t="n">
        <v>59</v>
      </c>
      <c r="J87" s="3" t="n">
        <f aca="false">ROUND(I87+(H87-I87)/3,1)</f>
        <v>69.3</v>
      </c>
    </row>
    <row r="88" customFormat="false" ht="15" hidden="false" customHeight="false" outlineLevel="0" collapsed="false">
      <c r="A88" s="2" t="s">
        <v>102</v>
      </c>
      <c r="B88" s="2" t="s">
        <v>16</v>
      </c>
      <c r="C88" s="2" t="n">
        <v>135</v>
      </c>
      <c r="D88" s="2" t="s">
        <v>86</v>
      </c>
      <c r="E88" s="2" t="n">
        <v>132</v>
      </c>
      <c r="F88" s="2" t="n">
        <v>98</v>
      </c>
      <c r="G88" s="2" t="n">
        <v>44</v>
      </c>
      <c r="H88" s="2" t="n">
        <v>97</v>
      </c>
      <c r="I88" s="2" t="n">
        <v>55</v>
      </c>
      <c r="J88" s="3" t="n">
        <f aca="false">ROUND(I88+(H88-I88)/3,1)</f>
        <v>69</v>
      </c>
    </row>
    <row r="89" customFormat="false" ht="15" hidden="false" customHeight="false" outlineLevel="0" collapsed="false">
      <c r="A89" s="2" t="s">
        <v>103</v>
      </c>
      <c r="B89" s="2" t="s">
        <v>11</v>
      </c>
      <c r="C89" s="2" t="n">
        <v>139</v>
      </c>
      <c r="D89" s="2" t="s">
        <v>86</v>
      </c>
      <c r="E89" s="2" t="n">
        <v>144</v>
      </c>
      <c r="F89" s="2" t="n">
        <v>98</v>
      </c>
      <c r="G89" s="2" t="n">
        <v>33</v>
      </c>
      <c r="H89" s="2" t="n">
        <v>99</v>
      </c>
      <c r="I89" s="2" t="n">
        <v>54</v>
      </c>
      <c r="J89" s="3" t="n">
        <f aca="false">ROUND(I89+(H89-I89)/3,1)</f>
        <v>69</v>
      </c>
    </row>
    <row r="90" customFormat="false" ht="15" hidden="false" customHeight="false" outlineLevel="0" collapsed="false">
      <c r="A90" s="2" t="s">
        <v>104</v>
      </c>
      <c r="B90" s="2" t="s">
        <v>16</v>
      </c>
      <c r="C90" s="2" t="n">
        <v>140</v>
      </c>
      <c r="D90" s="2" t="s">
        <v>86</v>
      </c>
      <c r="E90" s="2" t="n">
        <v>152</v>
      </c>
      <c r="F90" s="2" t="n">
        <v>96</v>
      </c>
      <c r="G90" s="2" t="n">
        <v>44</v>
      </c>
      <c r="H90" s="2" t="n">
        <v>92</v>
      </c>
      <c r="I90" s="2" t="n">
        <v>48</v>
      </c>
      <c r="J90" s="3" t="n">
        <f aca="false">ROUND(I90+(H90-I90)/3,1)</f>
        <v>62.7</v>
      </c>
    </row>
    <row r="91" customFormat="false" ht="15" hidden="false" customHeight="false" outlineLevel="0" collapsed="false">
      <c r="A91" s="2" t="s">
        <v>105</v>
      </c>
      <c r="B91" s="2" t="s">
        <v>11</v>
      </c>
      <c r="C91" s="2" t="n">
        <v>141</v>
      </c>
      <c r="D91" s="2" t="s">
        <v>86</v>
      </c>
      <c r="E91" s="2" t="n">
        <v>129</v>
      </c>
      <c r="F91" s="2" t="n">
        <v>98</v>
      </c>
      <c r="G91" s="2" t="n">
        <v>40</v>
      </c>
      <c r="H91" s="2" t="n">
        <v>89</v>
      </c>
      <c r="I91" s="2" t="n">
        <v>51</v>
      </c>
      <c r="J91" s="3" t="n">
        <f aca="false">ROUND(I91+(H91-I91)/3,1)</f>
        <v>63.7</v>
      </c>
    </row>
    <row r="92" customFormat="false" ht="15" hidden="false" customHeight="false" outlineLevel="0" collapsed="false">
      <c r="A92" s="2" t="s">
        <v>106</v>
      </c>
      <c r="B92" s="2" t="s">
        <v>16</v>
      </c>
      <c r="C92" s="2" t="n">
        <v>143</v>
      </c>
      <c r="D92" s="2" t="s">
        <v>86</v>
      </c>
      <c r="E92" s="2" t="n">
        <v>116</v>
      </c>
      <c r="F92" s="2" t="n">
        <v>99</v>
      </c>
      <c r="G92" s="2" t="n">
        <v>34</v>
      </c>
      <c r="H92" s="2" t="n">
        <v>98</v>
      </c>
      <c r="I92" s="2" t="n">
        <v>55</v>
      </c>
      <c r="J92" s="3" t="n">
        <f aca="false">ROUND(I92+(H92-I92)/3,1)</f>
        <v>69.3</v>
      </c>
    </row>
    <row r="93" customFormat="false" ht="15" hidden="false" customHeight="false" outlineLevel="0" collapsed="false">
      <c r="A93" s="2" t="s">
        <v>107</v>
      </c>
      <c r="B93" s="2" t="s">
        <v>11</v>
      </c>
      <c r="C93" s="2" t="n">
        <v>144</v>
      </c>
      <c r="D93" s="2" t="s">
        <v>86</v>
      </c>
      <c r="E93" s="2" t="n">
        <v>146</v>
      </c>
      <c r="F93" s="2" t="n">
        <v>96</v>
      </c>
      <c r="G93" s="2" t="n">
        <v>33</v>
      </c>
      <c r="H93" s="2" t="n">
        <v>88</v>
      </c>
      <c r="I93" s="2" t="n">
        <v>44</v>
      </c>
      <c r="J93" s="3" t="n">
        <f aca="false">ROUND(I93+(H93-I93)/3,1)</f>
        <v>58.7</v>
      </c>
    </row>
    <row r="94" customFormat="false" ht="15" hidden="false" customHeight="false" outlineLevel="0" collapsed="false">
      <c r="A94" s="2" t="s">
        <v>108</v>
      </c>
      <c r="B94" s="2" t="s">
        <v>11</v>
      </c>
      <c r="C94" s="2" t="n">
        <v>147</v>
      </c>
      <c r="D94" s="2" t="s">
        <v>86</v>
      </c>
      <c r="E94" s="2" t="n">
        <v>130</v>
      </c>
      <c r="F94" s="2" t="n">
        <v>97</v>
      </c>
      <c r="G94" s="2" t="n">
        <v>32</v>
      </c>
      <c r="H94" s="2" t="n">
        <v>84</v>
      </c>
      <c r="I94" s="2" t="n">
        <v>56</v>
      </c>
      <c r="J94" s="3" t="n">
        <f aca="false">ROUND(I94+(H94-I94)/3,1)</f>
        <v>65.3</v>
      </c>
    </row>
    <row r="95" customFormat="false" ht="15" hidden="false" customHeight="false" outlineLevel="0" collapsed="false">
      <c r="A95" s="2" t="s">
        <v>109</v>
      </c>
      <c r="B95" s="2" t="s">
        <v>11</v>
      </c>
      <c r="C95" s="2" t="n">
        <v>153</v>
      </c>
      <c r="D95" s="2" t="s">
        <v>86</v>
      </c>
      <c r="E95" s="2" t="n">
        <v>117</v>
      </c>
      <c r="F95" s="2" t="n">
        <v>100</v>
      </c>
      <c r="G95" s="2" t="n">
        <v>39</v>
      </c>
      <c r="H95" s="2" t="n">
        <v>92</v>
      </c>
      <c r="I95" s="2" t="n">
        <v>44</v>
      </c>
      <c r="J95" s="3" t="n">
        <f aca="false">ROUND(I95+(H95-I95)/3,1)</f>
        <v>60</v>
      </c>
    </row>
    <row r="96" customFormat="false" ht="15" hidden="false" customHeight="false" outlineLevel="0" collapsed="false">
      <c r="A96" s="2" t="s">
        <v>110</v>
      </c>
      <c r="B96" s="2" t="s">
        <v>16</v>
      </c>
      <c r="C96" s="2" t="n">
        <v>154</v>
      </c>
      <c r="D96" s="2" t="s">
        <v>86</v>
      </c>
      <c r="E96" s="2" t="n">
        <v>133</v>
      </c>
      <c r="F96" s="2" t="n">
        <v>98</v>
      </c>
      <c r="G96" s="2" t="n">
        <v>52</v>
      </c>
      <c r="H96" s="2" t="n">
        <v>96</v>
      </c>
      <c r="I96" s="2" t="n">
        <v>60</v>
      </c>
      <c r="J96" s="3" t="n">
        <f aca="false">ROUND(I96+(H96-I96)/3,1)</f>
        <v>72</v>
      </c>
    </row>
    <row r="97" customFormat="false" ht="15" hidden="false" customHeight="false" outlineLevel="0" collapsed="false">
      <c r="A97" s="2" t="s">
        <v>111</v>
      </c>
      <c r="B97" s="2" t="s">
        <v>11</v>
      </c>
      <c r="C97" s="2" t="n">
        <v>156</v>
      </c>
      <c r="D97" s="2" t="s">
        <v>86</v>
      </c>
      <c r="E97" s="2" t="n">
        <v>145</v>
      </c>
      <c r="F97" s="2" t="n">
        <v>98</v>
      </c>
      <c r="G97" s="2" t="n">
        <v>40</v>
      </c>
      <c r="H97" s="2" t="n">
        <v>87</v>
      </c>
      <c r="I97" s="2" t="n">
        <v>55</v>
      </c>
      <c r="J97" s="3" t="n">
        <f aca="false">ROUND(I97+(H97-I97)/3,1)</f>
        <v>65.7</v>
      </c>
    </row>
    <row r="98" customFormat="false" ht="15" hidden="false" customHeight="false" outlineLevel="0" collapsed="false">
      <c r="A98" s="2" t="s">
        <v>112</v>
      </c>
      <c r="B98" s="2" t="s">
        <v>11</v>
      </c>
      <c r="C98" s="2" t="n">
        <v>162</v>
      </c>
      <c r="D98" s="2" t="s">
        <v>86</v>
      </c>
      <c r="E98" s="2" t="n">
        <v>136</v>
      </c>
      <c r="F98" s="2" t="n">
        <v>98</v>
      </c>
      <c r="G98" s="2" t="n">
        <v>32</v>
      </c>
      <c r="H98" s="2" t="n">
        <v>89</v>
      </c>
      <c r="I98" s="2" t="n">
        <v>55</v>
      </c>
      <c r="J98" s="3" t="n">
        <f aca="false">ROUND(I98+(H98-I98)/3,1)</f>
        <v>66.3</v>
      </c>
    </row>
    <row r="99" customFormat="false" ht="15" hidden="false" customHeight="false" outlineLevel="0" collapsed="false">
      <c r="A99" s="2" t="s">
        <v>113</v>
      </c>
      <c r="B99" s="2" t="s">
        <v>16</v>
      </c>
      <c r="C99" s="2" t="n">
        <v>172</v>
      </c>
      <c r="D99" s="2" t="s">
        <v>86</v>
      </c>
      <c r="E99" s="2" t="n">
        <v>140</v>
      </c>
      <c r="F99" s="2" t="n">
        <v>98</v>
      </c>
      <c r="G99" s="2" t="n">
        <v>38</v>
      </c>
      <c r="H99" s="2" t="n">
        <v>82</v>
      </c>
      <c r="I99" s="2" t="n">
        <v>51</v>
      </c>
      <c r="J99" s="3" t="n">
        <f aca="false">ROUND(I99+(H99-I99)/3,1)</f>
        <v>61.3</v>
      </c>
    </row>
    <row r="100" customFormat="false" ht="15" hidden="false" customHeight="false" outlineLevel="0" collapsed="false">
      <c r="A100" s="2" t="s">
        <v>114</v>
      </c>
      <c r="B100" s="2" t="s">
        <v>11</v>
      </c>
      <c r="C100" s="2" t="n">
        <v>176</v>
      </c>
      <c r="D100" s="2" t="s">
        <v>86</v>
      </c>
      <c r="E100" s="2" t="n">
        <v>132</v>
      </c>
      <c r="F100" s="2" t="n">
        <v>96</v>
      </c>
      <c r="G100" s="2" t="n">
        <v>39</v>
      </c>
      <c r="H100" s="2" t="n">
        <v>95</v>
      </c>
      <c r="I100" s="2" t="n">
        <v>51</v>
      </c>
      <c r="J100" s="3" t="n">
        <f aca="false">ROUND(I100+(H100-I100)/3,1)</f>
        <v>65.7</v>
      </c>
    </row>
    <row r="101" customFormat="false" ht="15" hidden="false" customHeight="false" outlineLevel="0" collapsed="false">
      <c r="A101" s="2" t="s">
        <v>115</v>
      </c>
      <c r="B101" s="2" t="s">
        <v>11</v>
      </c>
      <c r="C101" s="2" t="n">
        <v>178</v>
      </c>
      <c r="D101" s="2" t="s">
        <v>86</v>
      </c>
      <c r="E101" s="2" t="n">
        <v>143</v>
      </c>
      <c r="F101" s="2" t="n">
        <v>97</v>
      </c>
      <c r="G101" s="2" t="n">
        <v>44</v>
      </c>
      <c r="H101" s="2" t="n">
        <v>88</v>
      </c>
      <c r="I101" s="2" t="n">
        <v>49</v>
      </c>
      <c r="J101" s="3" t="n">
        <f aca="false">ROUND(I101+(H101-I101)/3,1)</f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1"/>
  </cols>
  <sheetData>
    <row r="1" customFormat="false" ht="15" hidden="false" customHeight="false" outlineLevel="0" collapsed="false">
      <c r="A1" s="4" t="s">
        <v>116</v>
      </c>
      <c r="B1" s="4" t="s">
        <v>117</v>
      </c>
      <c r="C1" s="4" t="s">
        <v>118</v>
      </c>
      <c r="D1" s="4" t="s">
        <v>119</v>
      </c>
      <c r="E1" s="4" t="s">
        <v>120</v>
      </c>
    </row>
    <row r="2" customFormat="false" ht="15" hidden="false" customHeight="false" outlineLevel="0" collapsed="false">
      <c r="A2" s="5" t="s">
        <v>4</v>
      </c>
      <c r="B2" s="3" t="n">
        <f aca="false">AVERAGE(Data!E2:E101)</f>
        <v>140.83</v>
      </c>
      <c r="C2" s="3" t="n">
        <f aca="false">STDEV(Data!E2:E101)</f>
        <v>13.061668029665</v>
      </c>
      <c r="D2" s="3" t="n">
        <f aca="false">MIN(Data!E2:E101)</f>
        <v>116</v>
      </c>
      <c r="E2" s="3" t="n">
        <f aca="false">MAX(Data!E2:E101)</f>
        <v>175</v>
      </c>
    </row>
    <row r="3" customFormat="false" ht="15" hidden="false" customHeight="false" outlineLevel="0" collapsed="false">
      <c r="A3" s="5" t="s">
        <v>5</v>
      </c>
      <c r="B3" s="3" t="n">
        <f aca="false">AVERAGE(Data!F2:F101)</f>
        <v>97.85</v>
      </c>
      <c r="C3" s="3" t="n">
        <f aca="false">STDEV(Data!F2:F101)</f>
        <v>1.06718737290548</v>
      </c>
      <c r="D3" s="3" t="n">
        <f aca="false">MIN(Data!F2:F101)</f>
        <v>94</v>
      </c>
      <c r="E3" s="3" t="n">
        <f aca="false">MAX(Data!F2:F101)</f>
        <v>100</v>
      </c>
    </row>
    <row r="4" customFormat="false" ht="15" hidden="false" customHeight="false" outlineLevel="0" collapsed="false">
      <c r="A4" s="5" t="s">
        <v>6</v>
      </c>
      <c r="B4" s="3" t="n">
        <f aca="false">AVERAGE(Data!G2:G101)</f>
        <v>43.61</v>
      </c>
      <c r="C4" s="3" t="n">
        <f aca="false">STDEV(Data!G2:G101)</f>
        <v>5.40088844169142</v>
      </c>
      <c r="D4" s="3" t="n">
        <f aca="false">MIN(Data!G2:G101)</f>
        <v>32</v>
      </c>
      <c r="E4" s="3" t="n">
        <f aca="false">MAX(Data!G2:G101)</f>
        <v>58</v>
      </c>
    </row>
    <row r="5" customFormat="false" ht="15" hidden="false" customHeight="false" outlineLevel="0" collapsed="false">
      <c r="A5" s="5" t="s">
        <v>7</v>
      </c>
      <c r="B5" s="3" t="n">
        <f aca="false">AVERAGE(Data!H2:H101)</f>
        <v>81.39</v>
      </c>
      <c r="C5" s="3" t="n">
        <f aca="false">STDEV(Data!H2:H101)</f>
        <v>9.51648755337469</v>
      </c>
      <c r="D5" s="3" t="n">
        <f aca="false">MIN(Data!H2:H101)</f>
        <v>58</v>
      </c>
      <c r="E5" s="3" t="n">
        <f aca="false">MAX(Data!H2:H101)</f>
        <v>105</v>
      </c>
    </row>
    <row r="6" customFormat="false" ht="15" hidden="false" customHeight="false" outlineLevel="0" collapsed="false">
      <c r="A6" s="5" t="s">
        <v>8</v>
      </c>
      <c r="B6" s="3" t="n">
        <f aca="false">AVERAGE(Data!I2:I101)</f>
        <v>49.42</v>
      </c>
      <c r="C6" s="3" t="n">
        <f aca="false">STDEV(Data!I2:I101)</f>
        <v>6.33441776999658</v>
      </c>
      <c r="D6" s="3" t="n">
        <f aca="false">MIN(Data!I2:I101)</f>
        <v>34</v>
      </c>
      <c r="E6" s="3" t="n">
        <f aca="false">MAX(Data!I2:I101)</f>
        <v>60</v>
      </c>
    </row>
    <row r="7" customFormat="false" ht="15" hidden="false" customHeight="false" outlineLevel="0" collapsed="false">
      <c r="A7" s="5" t="s">
        <v>9</v>
      </c>
      <c r="B7" s="3" t="n">
        <f aca="false">AVERAGE(Data!J2:J101)</f>
        <v>60.082</v>
      </c>
      <c r="C7" s="3" t="n">
        <f aca="false">STDEV(Data!J2:J101)</f>
        <v>6.50184713459307</v>
      </c>
      <c r="D7" s="3" t="n">
        <f aca="false">MIN(Data!J2:J101)</f>
        <v>44</v>
      </c>
      <c r="E7" s="3" t="n">
        <f aca="false">MAX(Data!J2:J101)</f>
        <v>73.7</v>
      </c>
    </row>
    <row r="9" customFormat="false" ht="15" hidden="false" customHeight="false" outlineLevel="0" collapsed="false">
      <c r="A9" s="6" t="s">
        <v>121</v>
      </c>
      <c r="B9" s="7" t="n">
        <f aca="false">COUNTA(Data!A2:A101)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8" t="s">
        <v>122</v>
      </c>
    </row>
    <row r="2" customFormat="false" ht="15" hidden="false" customHeight="false" outlineLevel="0" collapsed="false">
      <c r="A2" s="9"/>
    </row>
    <row r="3" customFormat="false" ht="26.85" hidden="false" customHeight="false" outlineLevel="0" collapsed="false">
      <c r="A3" s="9" t="s">
        <v>123</v>
      </c>
    </row>
    <row r="4" customFormat="false" ht="26.85" hidden="false" customHeight="false" outlineLevel="0" collapsed="false">
      <c r="A4" s="9" t="s">
        <v>124</v>
      </c>
    </row>
    <row r="5" customFormat="false" ht="15" hidden="false" customHeight="false" outlineLevel="0" collapsed="false">
      <c r="A5" s="9" t="s">
        <v>125</v>
      </c>
    </row>
    <row r="6" customFormat="false" ht="15" hidden="false" customHeight="false" outlineLevel="0" collapsed="false">
      <c r="A6" s="9"/>
    </row>
    <row r="7" customFormat="false" ht="15" hidden="false" customHeight="false" outlineLevel="0" collapsed="false">
      <c r="A7" s="9" t="s">
        <v>126</v>
      </c>
    </row>
    <row r="8" customFormat="false" ht="15" hidden="false" customHeight="false" outlineLevel="0" collapsed="false">
      <c r="A8" s="9" t="s">
        <v>127</v>
      </c>
    </row>
    <row r="9" customFormat="false" ht="15" hidden="false" customHeight="false" outlineLevel="0" collapsed="false">
      <c r="A9" s="9"/>
    </row>
    <row r="10" customFormat="false" ht="15" hidden="false" customHeight="false" outlineLevel="0" collapsed="false">
      <c r="A10" s="10" t="s">
        <v>128</v>
      </c>
    </row>
    <row r="11" customFormat="false" ht="15" hidden="false" customHeight="false" outlineLevel="0" collapsed="false">
      <c r="A11" s="9" t="s">
        <v>129</v>
      </c>
    </row>
    <row r="12" customFormat="false" ht="15" hidden="false" customHeight="false" outlineLevel="0" collapsed="false">
      <c r="A12" s="9" t="s">
        <v>130</v>
      </c>
    </row>
    <row r="13" customFormat="false" ht="15" hidden="false" customHeight="false" outlineLevel="0" collapsed="false">
      <c r="A13" s="9" t="s">
        <v>131</v>
      </c>
    </row>
    <row r="14" customFormat="false" ht="15" hidden="false" customHeight="false" outlineLevel="0" collapsed="false">
      <c r="A14" s="9" t="s">
        <v>132</v>
      </c>
    </row>
    <row r="15" customFormat="false" ht="15" hidden="false" customHeight="false" outlineLevel="0" collapsed="false">
      <c r="A15" s="9" t="s">
        <v>133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10" t="s">
        <v>134</v>
      </c>
    </row>
    <row r="18" customFormat="false" ht="26.85" hidden="false" customHeight="false" outlineLevel="0" collapsed="false">
      <c r="A18" s="9" t="s">
        <v>135</v>
      </c>
    </row>
    <row r="19" customFormat="false" ht="15" hidden="false" customHeight="false" outlineLevel="0" collapsed="false">
      <c r="A19" s="9" t="s">
        <v>136</v>
      </c>
    </row>
    <row r="20" customFormat="false" ht="26.85" hidden="false" customHeight="false" outlineLevel="0" collapsed="false">
      <c r="A20" s="9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2026-10-26T15:43:22Z</dcterms:created>
  <dc:creator>openpyxl</dc:creator>
  <dc:description/>
  <dc:language>en-US</dc:language>
  <cp:lastModifiedBy/>
  <dcterms:modified xsi:type="dcterms:W3CDTF">2026-10-26T15:43:22Z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